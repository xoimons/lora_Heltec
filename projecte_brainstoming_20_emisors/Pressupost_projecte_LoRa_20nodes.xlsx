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ra_Heltec\"/>
    </mc:Choice>
  </mc:AlternateContent>
  <xr:revisionPtr revIDLastSave="0" documentId="8_{3B03BDDB-6C45-42FF-8D56-854A1CD5A501}" xr6:coauthVersionLast="47" xr6:coauthVersionMax="47" xr10:uidLastSave="{00000000-0000-0000-0000-000000000000}"/>
  <bookViews>
    <workbookView xWindow="-120" yWindow="-120" windowWidth="29040" windowHeight="17520" activeTab="2" xr2:uid="{44DCEF79-5200-4441-8C31-C604AC367DB6}"/>
  </bookViews>
  <sheets>
    <sheet name="Node emissor" sheetId="1" r:id="rId1"/>
    <sheet name="Receptor (comu)" sheetId="2" r:id="rId2"/>
    <sheet name="Resu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4" i="3"/>
  <c r="B3" i="3"/>
  <c r="B2" i="3"/>
  <c r="D11" i="2"/>
  <c r="D9" i="2"/>
  <c r="D8" i="2"/>
  <c r="D7" i="2"/>
  <c r="D6" i="2"/>
  <c r="D5" i="2"/>
  <c r="D4" i="2"/>
  <c r="D3" i="2"/>
  <c r="D2" i="2"/>
  <c r="D13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<sst xmlns="http://schemas.openxmlformats.org/spreadsheetml/2006/main" count="34" uniqueCount="30">
  <si>
    <t>Component</t>
  </si>
  <si>
    <t>Preu unitari (EUR)</t>
  </si>
  <si>
    <t>Quantitat</t>
  </si>
  <si>
    <t>Subtotal (EUR)</t>
  </si>
  <si>
    <t>ESP32-C3 (modul MINI-1)</t>
  </si>
  <si>
    <t>Modul LoRa SX1262 + PA (ex. E22-900M30S)</t>
  </si>
  <si>
    <t>Passius i proteccio entrades digitals (x4)</t>
  </si>
  <si>
    <t>Divisor i proteccio entrada analogica 0-10V</t>
  </si>
  <si>
    <t>Regulador tensio (LDO/buck) + proteccio bateria</t>
  </si>
  <si>
    <t>PCB fabricacio (tirada petita)</t>
  </si>
  <si>
    <t>Portapiles / connector bateria</t>
  </si>
  <si>
    <t>Antena (whip/rod, baix guany, SMA)</t>
  </si>
  <si>
    <t>Caixa estanca IP65 + premsaestopes</t>
  </si>
  <si>
    <t>Piles (ex. Li-ion 18650 protegides)</t>
  </si>
  <si>
    <t>TOTAL PER NODE</t>
  </si>
  <si>
    <t>HAT concentrador LoRa multicanal (ex. RAK2287)</t>
  </si>
  <si>
    <t>Raspberry Pi 4/5 (4GB)</t>
  </si>
  <si>
    <t>Targeta microSD 32GB</t>
  </si>
  <si>
    <t>Font alimentacio RPi (5V/3A)</t>
  </si>
  <si>
    <t>Antena exterior de pal</t>
  </si>
  <si>
    <t>Cable coaxial baixa perdua + connectors</t>
  </si>
  <si>
    <t>Protector sobretensions (linia antena)</t>
  </si>
  <si>
    <t>Caixa estanca RPi + HAT</t>
  </si>
  <si>
    <t>TOTAL INFRAESTRUCTURA RECEPTOR</t>
  </si>
  <si>
    <t>Nombre de nodes emissors</t>
  </si>
  <si>
    <t>Cost per node emissor (EUR)</t>
  </si>
  <si>
    <t>Cost total nodes emissors (EUR)</t>
  </si>
  <si>
    <t>Cost total infraestructura receptor (EUR)</t>
  </si>
  <si>
    <t>COST TOTAL PROJECTE (EUR)</t>
  </si>
  <si>
    <t>Nota: preus orientatius, a validar amb pressupostos reals de proveidor (LCSC/Mouser/Digikey) segons volum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</si>
</sst>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B26-FD14-4FCD-B093-512E0204FE7F}">
  <dimension ref="A1:D13"/>
  <sheetViews>
    <sheetView workbookViewId="0"/>
  </sheetViews>
  <sheetFormatPr baseColWidth="10" defaultRowHeight="15" x14ac:dyDescent="0.25"/>
  <cols>
    <col min="1" max="1" width="48.7109375" customWidth="1"/>
    <col min="2" max="2" width="18.7109375" customWidth="1"/>
    <col min="3" max="3" width="12.7109375" customWidth="1"/>
    <col min="4" max="4" width="1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2</v>
      </c>
      <c r="C2">
        <v>1</v>
      </c>
      <c r="D2" s="2">
        <f>B2*C2</f>
        <v>2</v>
      </c>
    </row>
    <row r="3" spans="1:4" x14ac:dyDescent="0.25">
      <c r="A3" t="s">
        <v>5</v>
      </c>
      <c r="B3" s="2">
        <v>10</v>
      </c>
      <c r="C3">
        <v>1</v>
      </c>
      <c r="D3" s="2">
        <f>B3*C3</f>
        <v>10</v>
      </c>
    </row>
    <row r="4" spans="1:4" x14ac:dyDescent="0.25">
      <c r="A4" t="s">
        <v>6</v>
      </c>
      <c r="B4" s="2">
        <v>1.5</v>
      </c>
      <c r="C4">
        <v>1</v>
      </c>
      <c r="D4" s="2">
        <f>B4*C4</f>
        <v>1.5</v>
      </c>
    </row>
    <row r="5" spans="1:4" x14ac:dyDescent="0.25">
      <c r="A5" t="s">
        <v>7</v>
      </c>
      <c r="B5" s="2">
        <v>1</v>
      </c>
      <c r="C5">
        <v>1</v>
      </c>
      <c r="D5" s="2">
        <f>B5*C5</f>
        <v>1</v>
      </c>
    </row>
    <row r="6" spans="1:4" x14ac:dyDescent="0.25">
      <c r="A6" t="s">
        <v>8</v>
      </c>
      <c r="B6" s="2">
        <v>1.5</v>
      </c>
      <c r="C6">
        <v>1</v>
      </c>
      <c r="D6" s="2">
        <f>B6*C6</f>
        <v>1.5</v>
      </c>
    </row>
    <row r="7" spans="1:4" x14ac:dyDescent="0.25">
      <c r="A7" t="s">
        <v>9</v>
      </c>
      <c r="B7" s="2">
        <v>2</v>
      </c>
      <c r="C7">
        <v>1</v>
      </c>
      <c r="D7" s="2">
        <f>B7*C7</f>
        <v>2</v>
      </c>
    </row>
    <row r="8" spans="1:4" x14ac:dyDescent="0.25">
      <c r="A8" t="s">
        <v>10</v>
      </c>
      <c r="B8" s="2">
        <v>0.75</v>
      </c>
      <c r="C8">
        <v>1</v>
      </c>
      <c r="D8" s="2">
        <f>B8*C8</f>
        <v>0.75</v>
      </c>
    </row>
    <row r="9" spans="1:4" x14ac:dyDescent="0.25">
      <c r="A9" t="s">
        <v>11</v>
      </c>
      <c r="B9" s="2">
        <v>5</v>
      </c>
      <c r="C9">
        <v>1</v>
      </c>
      <c r="D9" s="2">
        <f>B9*C9</f>
        <v>5</v>
      </c>
    </row>
    <row r="10" spans="1:4" x14ac:dyDescent="0.25">
      <c r="A10" t="s">
        <v>12</v>
      </c>
      <c r="B10" s="2">
        <v>8</v>
      </c>
      <c r="C10">
        <v>1</v>
      </c>
      <c r="D10" s="2">
        <f>B10*C10</f>
        <v>8</v>
      </c>
    </row>
    <row r="11" spans="1:4" x14ac:dyDescent="0.25">
      <c r="A11" t="s">
        <v>13</v>
      </c>
      <c r="B11" s="2">
        <v>5</v>
      </c>
      <c r="C11">
        <v>2</v>
      </c>
      <c r="D11" s="2">
        <f>B11*C11</f>
        <v>10</v>
      </c>
    </row>
    <row r="12" spans="1:4" x14ac:dyDescent="0.25">
      <c r="B12" s="2"/>
      <c r="D12" s="2"/>
    </row>
    <row r="13" spans="1:4" x14ac:dyDescent="0.25">
      <c r="A13" s="1" t="s">
        <v>14</v>
      </c>
      <c r="B13" s="3"/>
      <c r="C13" s="1"/>
      <c r="D13" s="3">
        <f>SUM(D2:D11)</f>
        <v>41.75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8342-75DF-4690-95E5-40ACF5B4BB60}">
  <dimension ref="A1:D11"/>
  <sheetViews>
    <sheetView workbookViewId="0"/>
  </sheetViews>
  <sheetFormatPr baseColWidth="10" defaultRowHeight="15" x14ac:dyDescent="0.25"/>
  <cols>
    <col min="1" max="1" width="48.7109375" customWidth="1"/>
    <col min="2" max="2" width="18.7109375" customWidth="1"/>
    <col min="3" max="3" width="12.7109375" customWidth="1"/>
    <col min="4" max="4" width="1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</v>
      </c>
      <c r="B2" s="2">
        <v>100</v>
      </c>
      <c r="C2">
        <v>1</v>
      </c>
      <c r="D2" s="2">
        <f>B2*C2</f>
        <v>100</v>
      </c>
    </row>
    <row r="3" spans="1:4" x14ac:dyDescent="0.25">
      <c r="A3" t="s">
        <v>16</v>
      </c>
      <c r="B3" s="2">
        <v>60</v>
      </c>
      <c r="C3">
        <v>1</v>
      </c>
      <c r="D3" s="2">
        <f>B3*C3</f>
        <v>60</v>
      </c>
    </row>
    <row r="4" spans="1:4" x14ac:dyDescent="0.25">
      <c r="A4" t="s">
        <v>17</v>
      </c>
      <c r="B4" s="2">
        <v>10</v>
      </c>
      <c r="C4">
        <v>1</v>
      </c>
      <c r="D4" s="2">
        <f>B4*C4</f>
        <v>10</v>
      </c>
    </row>
    <row r="5" spans="1:4" x14ac:dyDescent="0.25">
      <c r="A5" t="s">
        <v>18</v>
      </c>
      <c r="B5" s="2">
        <v>9</v>
      </c>
      <c r="C5">
        <v>1</v>
      </c>
      <c r="D5" s="2">
        <f>B5*C5</f>
        <v>9</v>
      </c>
    </row>
    <row r="6" spans="1:4" x14ac:dyDescent="0.25">
      <c r="A6" t="s">
        <v>19</v>
      </c>
      <c r="B6" s="2">
        <v>25</v>
      </c>
      <c r="C6">
        <v>1</v>
      </c>
      <c r="D6" s="2">
        <f>B6*C6</f>
        <v>25</v>
      </c>
    </row>
    <row r="7" spans="1:4" x14ac:dyDescent="0.25">
      <c r="A7" t="s">
        <v>20</v>
      </c>
      <c r="B7" s="2">
        <v>25</v>
      </c>
      <c r="C7">
        <v>1</v>
      </c>
      <c r="D7" s="2">
        <f>B7*C7</f>
        <v>25</v>
      </c>
    </row>
    <row r="8" spans="1:4" x14ac:dyDescent="0.25">
      <c r="A8" t="s">
        <v>21</v>
      </c>
      <c r="B8" s="2">
        <v>20</v>
      </c>
      <c r="C8">
        <v>1</v>
      </c>
      <c r="D8" s="2">
        <f>B8*C8</f>
        <v>20</v>
      </c>
    </row>
    <row r="9" spans="1:4" x14ac:dyDescent="0.25">
      <c r="A9" t="s">
        <v>22</v>
      </c>
      <c r="B9" s="2">
        <v>15</v>
      </c>
      <c r="C9">
        <v>1</v>
      </c>
      <c r="D9" s="2">
        <f>B9*C9</f>
        <v>15</v>
      </c>
    </row>
    <row r="10" spans="1:4" x14ac:dyDescent="0.25">
      <c r="B10" s="2"/>
      <c r="D10" s="2"/>
    </row>
    <row r="11" spans="1:4" x14ac:dyDescent="0.25">
      <c r="A11" s="1" t="s">
        <v>23</v>
      </c>
      <c r="B11" s="3"/>
      <c r="C11" s="1"/>
      <c r="D11" s="3">
        <f>SUM(D2:D9)</f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B5ED-A929-46FC-9763-7A3E8E512D8B}">
  <dimension ref="A1:B8"/>
  <sheetViews>
    <sheetView tabSelected="1" workbookViewId="0"/>
  </sheetViews>
  <sheetFormatPr baseColWidth="10" defaultRowHeight="15" x14ac:dyDescent="0.25"/>
  <cols>
    <col min="1" max="1" width="40.7109375" customWidth="1"/>
    <col min="2" max="2" width="18.7109375" customWidth="1"/>
  </cols>
  <sheetData>
    <row r="1" spans="1:2" x14ac:dyDescent="0.25">
      <c r="A1" s="1" t="s">
        <v>24</v>
      </c>
      <c r="B1" s="6">
        <v>20</v>
      </c>
    </row>
    <row r="2" spans="1:2" x14ac:dyDescent="0.25">
      <c r="A2" s="1" t="s">
        <v>25</v>
      </c>
      <c r="B2" s="2">
        <f>'Node emissor'!D13</f>
        <v>41.75</v>
      </c>
    </row>
    <row r="3" spans="1:2" x14ac:dyDescent="0.25">
      <c r="A3" s="1" t="s">
        <v>26</v>
      </c>
      <c r="B3" s="2">
        <f>B2*B1</f>
        <v>835</v>
      </c>
    </row>
    <row r="4" spans="1:2" x14ac:dyDescent="0.25">
      <c r="A4" s="1" t="s">
        <v>27</v>
      </c>
      <c r="B4" s="2">
        <f>'Receptor (comu)'!D11</f>
        <v>264</v>
      </c>
    </row>
    <row r="6" spans="1:2" ht="17.25" x14ac:dyDescent="0.3">
      <c r="A6" s="4" t="s">
        <v>28</v>
      </c>
      <c r="B6" s="5">
        <f>B3+B4</f>
        <v>1099</v>
      </c>
    </row>
    <row r="8" spans="1:2" x14ac:dyDescent="0.25">
      <c r="A8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Node emissor</vt:lpstr>
      <vt:lpstr>Receptor (comu)</vt:lpstr>
      <vt:lpstr>Resum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Maimo, Jordi</dc:creator>
  <cp:lastModifiedBy>Maimo, Jordi</cp:lastModifiedBy>
  <dcterms:created xsi:type="dcterms:W3CDTF">2026-08-24T10:39:34Z</dcterms:created>
  <dcterms:modified xsi:type="dcterms:W3CDTF">2026-08-24T10:39:35Z</dcterms:modified>
</cp:coreProperties>
</file>