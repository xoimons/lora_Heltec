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erberg-my.sharepoint.com/personal/j_maimo_terberg_com/Documents/lora_Heltec/projecte_brainstoming_20_emisors/"/>
    </mc:Choice>
  </mc:AlternateContent>
  <xr:revisionPtr revIDLastSave="0" documentId="8_{E8CE3F53-CE16-4FD5-93EE-5349757A331B}" xr6:coauthVersionLast="47" xr6:coauthVersionMax="47" xr10:uidLastSave="{00000000-0000-0000-0000-000000000000}"/>
  <bookViews>
    <workbookView xWindow="28680" yWindow="-120" windowWidth="29040" windowHeight="17520" xr2:uid="{D1097397-0A4D-4AC5-B0D3-C135E357D33D}"/>
  </bookViews>
  <sheets>
    <sheet name="Pressupost Mestre" sheetId="1" r:id="rId1"/>
    <sheet name="Material" sheetId="2" r:id="rId2"/>
    <sheet name="Material per diposit" sheetId="5" r:id="rId3"/>
    <sheet name="Sergi" sheetId="3" r:id="rId4"/>
    <sheet name="Jordi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10" i="5" l="1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E80" i="5"/>
  <c r="E81" i="5"/>
  <c r="E82" i="5"/>
  <c r="E83" i="5"/>
  <c r="E84" i="5"/>
  <c r="E85" i="5"/>
  <c r="E86" i="5"/>
  <c r="E87" i="5"/>
  <c r="E88" i="5"/>
  <c r="E89" i="5"/>
  <c r="E90" i="5"/>
  <c r="E91" i="5"/>
  <c r="E92" i="5"/>
  <c r="E93" i="5"/>
  <c r="E94" i="5"/>
  <c r="E95" i="5"/>
  <c r="E96" i="5"/>
  <c r="E97" i="5"/>
  <c r="E98" i="5"/>
  <c r="E99" i="5"/>
  <c r="E100" i="5"/>
  <c r="E101" i="5"/>
  <c r="E102" i="5"/>
  <c r="E103" i="5"/>
  <c r="E104" i="5"/>
  <c r="E105" i="5"/>
  <c r="E106" i="5"/>
  <c r="E107" i="5"/>
  <c r="E108" i="5"/>
  <c r="E109" i="5"/>
  <c r="E110" i="5"/>
  <c r="E111" i="5"/>
  <c r="E112" i="5"/>
  <c r="E113" i="5"/>
  <c r="E114" i="5"/>
  <c r="E115" i="5"/>
  <c r="E116" i="5"/>
  <c r="E117" i="5"/>
  <c r="E118" i="5"/>
  <c r="E119" i="5"/>
  <c r="E120" i="5"/>
  <c r="E121" i="5"/>
  <c r="E122" i="5"/>
  <c r="E123" i="5"/>
  <c r="E124" i="5"/>
  <c r="E125" i="5"/>
  <c r="E126" i="5"/>
  <c r="E127" i="5"/>
  <c r="E128" i="5"/>
  <c r="E129" i="5"/>
  <c r="E130" i="5"/>
  <c r="E131" i="5"/>
  <c r="E132" i="5"/>
  <c r="E133" i="5"/>
  <c r="E134" i="5"/>
  <c r="E135" i="5"/>
  <c r="E136" i="5"/>
  <c r="E137" i="5"/>
  <c r="E138" i="5"/>
  <c r="E139" i="5"/>
  <c r="E140" i="5"/>
  <c r="E141" i="5"/>
  <c r="E142" i="5"/>
  <c r="E143" i="5"/>
  <c r="E144" i="5"/>
  <c r="E145" i="5"/>
  <c r="E146" i="5"/>
  <c r="E147" i="5"/>
  <c r="E148" i="5"/>
  <c r="E149" i="5"/>
  <c r="E150" i="5"/>
  <c r="E151" i="5"/>
  <c r="E152" i="5"/>
  <c r="E153" i="5"/>
  <c r="E154" i="5"/>
  <c r="E155" i="5"/>
  <c r="E156" i="5"/>
  <c r="E157" i="5"/>
  <c r="E158" i="5"/>
  <c r="E159" i="5"/>
  <c r="E160" i="5"/>
  <c r="E161" i="5"/>
  <c r="E162" i="5"/>
  <c r="E163" i="5"/>
  <c r="E164" i="5"/>
  <c r="E165" i="5"/>
  <c r="E166" i="5"/>
  <c r="E167" i="5"/>
  <c r="E168" i="5"/>
  <c r="E169" i="5"/>
  <c r="E170" i="5"/>
  <c r="E171" i="5"/>
  <c r="E172" i="5"/>
  <c r="E173" i="5"/>
  <c r="E174" i="5"/>
  <c r="E175" i="5"/>
  <c r="E176" i="5"/>
  <c r="E177" i="5"/>
  <c r="E178" i="5"/>
  <c r="E179" i="5"/>
  <c r="E180" i="5"/>
  <c r="E181" i="5"/>
  <c r="E182" i="5"/>
  <c r="E183" i="5"/>
  <c r="E184" i="5"/>
  <c r="E185" i="5"/>
  <c r="E186" i="5"/>
  <c r="E187" i="5"/>
  <c r="E188" i="5"/>
  <c r="E189" i="5"/>
  <c r="E190" i="5"/>
  <c r="E191" i="5"/>
  <c r="E192" i="5"/>
  <c r="E193" i="5"/>
  <c r="E194" i="5"/>
  <c r="E195" i="5"/>
  <c r="E196" i="5"/>
  <c r="E197" i="5"/>
  <c r="E198" i="5"/>
  <c r="E199" i="5"/>
  <c r="E200" i="5"/>
  <c r="E201" i="5"/>
  <c r="E202" i="5"/>
  <c r="E203" i="5"/>
  <c r="E204" i="5"/>
  <c r="E205" i="5"/>
  <c r="E206" i="5"/>
  <c r="E207" i="5"/>
  <c r="E208" i="5"/>
  <c r="E9" i="5"/>
  <c r="B3" i="5" l="1"/>
  <c r="B5" i="5" s="1"/>
  <c r="B5" i="2" s="1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K50" i="4"/>
  <c r="K51" i="4"/>
  <c r="K52" i="4"/>
  <c r="K53" i="4"/>
  <c r="K54" i="4"/>
  <c r="K55" i="4"/>
  <c r="K56" i="4"/>
  <c r="K57" i="4"/>
  <c r="K58" i="4"/>
  <c r="K59" i="4"/>
  <c r="K60" i="4"/>
  <c r="K61" i="4"/>
  <c r="K12" i="4"/>
  <c r="B7" i="4"/>
  <c r="B7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12" i="3"/>
  <c r="C13" i="4"/>
  <c r="C162" i="4"/>
  <c r="C161" i="4"/>
  <c r="C160" i="4"/>
  <c r="C159" i="4"/>
  <c r="C158" i="4"/>
  <c r="C157" i="4"/>
  <c r="C156" i="4"/>
  <c r="C155" i="4"/>
  <c r="C154" i="4"/>
  <c r="C153" i="4"/>
  <c r="C152" i="4"/>
  <c r="C151" i="4"/>
  <c r="C150" i="4"/>
  <c r="C149" i="4"/>
  <c r="C148" i="4"/>
  <c r="C147" i="4"/>
  <c r="C146" i="4"/>
  <c r="C145" i="4"/>
  <c r="C144" i="4"/>
  <c r="C143" i="4"/>
  <c r="C142" i="4"/>
  <c r="C141" i="4"/>
  <c r="C140" i="4"/>
  <c r="C139" i="4"/>
  <c r="C138" i="4"/>
  <c r="C137" i="4"/>
  <c r="C136" i="4"/>
  <c r="C135" i="4"/>
  <c r="C134" i="4"/>
  <c r="C133" i="4"/>
  <c r="C132" i="4"/>
  <c r="C131" i="4"/>
  <c r="C130" i="4"/>
  <c r="C129" i="4"/>
  <c r="C128" i="4"/>
  <c r="C127" i="4"/>
  <c r="C126" i="4"/>
  <c r="C125" i="4"/>
  <c r="C124" i="4"/>
  <c r="C123" i="4"/>
  <c r="C122" i="4"/>
  <c r="C121" i="4"/>
  <c r="C120" i="4"/>
  <c r="C119" i="4"/>
  <c r="C118" i="4"/>
  <c r="C117" i="4"/>
  <c r="C116" i="4"/>
  <c r="C115" i="4"/>
  <c r="C114" i="4"/>
  <c r="C113" i="4"/>
  <c r="C112" i="4"/>
  <c r="C111" i="4"/>
  <c r="C110" i="4"/>
  <c r="C109" i="4"/>
  <c r="C108" i="4"/>
  <c r="C107" i="4"/>
  <c r="C106" i="4"/>
  <c r="C105" i="4"/>
  <c r="C104" i="4"/>
  <c r="C103" i="4"/>
  <c r="C102" i="4"/>
  <c r="C101" i="4"/>
  <c r="C100" i="4"/>
  <c r="C99" i="4"/>
  <c r="C98" i="4"/>
  <c r="C97" i="4"/>
  <c r="C96" i="4"/>
  <c r="C95" i="4"/>
  <c r="C94" i="4"/>
  <c r="C93" i="4"/>
  <c r="C92" i="4"/>
  <c r="C91" i="4"/>
  <c r="C90" i="4"/>
  <c r="C89" i="4"/>
  <c r="C88" i="4"/>
  <c r="C87" i="4"/>
  <c r="C86" i="4"/>
  <c r="C85" i="4"/>
  <c r="C84" i="4"/>
  <c r="C83" i="4"/>
  <c r="C82" i="4"/>
  <c r="C81" i="4"/>
  <c r="C80" i="4"/>
  <c r="C79" i="4"/>
  <c r="C78" i="4"/>
  <c r="C77" i="4"/>
  <c r="C76" i="4"/>
  <c r="C75" i="4"/>
  <c r="C74" i="4"/>
  <c r="C73" i="4"/>
  <c r="C72" i="4"/>
  <c r="C71" i="4"/>
  <c r="C70" i="4"/>
  <c r="C69" i="4"/>
  <c r="C68" i="4"/>
  <c r="C67" i="4"/>
  <c r="C66" i="4"/>
  <c r="C65" i="4"/>
  <c r="C64" i="4"/>
  <c r="C63" i="4"/>
  <c r="C62" i="4"/>
  <c r="C61" i="4"/>
  <c r="C60" i="4"/>
  <c r="C59" i="4"/>
  <c r="C58" i="4"/>
  <c r="C57" i="4"/>
  <c r="C56" i="4"/>
  <c r="C55" i="4"/>
  <c r="C54" i="4"/>
  <c r="C53" i="4"/>
  <c r="C52" i="4"/>
  <c r="C51" i="4"/>
  <c r="C50" i="4"/>
  <c r="C4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25" i="4"/>
  <c r="C24" i="4"/>
  <c r="C23" i="4"/>
  <c r="C22" i="4"/>
  <c r="C21" i="4"/>
  <c r="C20" i="4"/>
  <c r="C19" i="4"/>
  <c r="C18" i="4"/>
  <c r="C17" i="4"/>
  <c r="C16" i="4"/>
  <c r="C15" i="4"/>
  <c r="C14" i="4"/>
  <c r="C12" i="4"/>
  <c r="C161" i="3"/>
  <c r="C160" i="3"/>
  <c r="C159" i="3"/>
  <c r="C158" i="3"/>
  <c r="C157" i="3"/>
  <c r="C156" i="3"/>
  <c r="C155" i="3"/>
  <c r="C154" i="3"/>
  <c r="C153" i="3"/>
  <c r="C152" i="3"/>
  <c r="C151" i="3"/>
  <c r="C150" i="3"/>
  <c r="C149" i="3"/>
  <c r="C148" i="3"/>
  <c r="C147" i="3"/>
  <c r="C146" i="3"/>
  <c r="C145" i="3"/>
  <c r="C144" i="3"/>
  <c r="C143" i="3"/>
  <c r="C142" i="3"/>
  <c r="C141" i="3"/>
  <c r="C140" i="3"/>
  <c r="C139" i="3"/>
  <c r="C138" i="3"/>
  <c r="C137" i="3"/>
  <c r="C136" i="3"/>
  <c r="C135" i="3"/>
  <c r="C134" i="3"/>
  <c r="C133" i="3"/>
  <c r="C132" i="3"/>
  <c r="C131" i="3"/>
  <c r="C130" i="3"/>
  <c r="C129" i="3"/>
  <c r="C128" i="3"/>
  <c r="C127" i="3"/>
  <c r="C126" i="3"/>
  <c r="C125" i="3"/>
  <c r="C124" i="3"/>
  <c r="C123" i="3"/>
  <c r="C122" i="3"/>
  <c r="C121" i="3"/>
  <c r="C120" i="3"/>
  <c r="C119" i="3"/>
  <c r="C118" i="3"/>
  <c r="C117" i="3"/>
  <c r="C116" i="3"/>
  <c r="C115" i="3"/>
  <c r="C114" i="3"/>
  <c r="C113" i="3"/>
  <c r="C112" i="3"/>
  <c r="C111" i="3"/>
  <c r="C110" i="3"/>
  <c r="C109" i="3"/>
  <c r="C108" i="3"/>
  <c r="C107" i="3"/>
  <c r="C106" i="3"/>
  <c r="C105" i="3"/>
  <c r="C104" i="3"/>
  <c r="C103" i="3"/>
  <c r="C102" i="3"/>
  <c r="C101" i="3"/>
  <c r="C100" i="3"/>
  <c r="C99" i="3"/>
  <c r="C98" i="3"/>
  <c r="C97" i="3"/>
  <c r="C96" i="3"/>
  <c r="C95" i="3"/>
  <c r="C94" i="3"/>
  <c r="C93" i="3"/>
  <c r="C92" i="3"/>
  <c r="C91" i="3"/>
  <c r="C90" i="3"/>
  <c r="C89" i="3"/>
  <c r="C88" i="3"/>
  <c r="C87" i="3"/>
  <c r="C86" i="3"/>
  <c r="C85" i="3"/>
  <c r="C84" i="3"/>
  <c r="C83" i="3"/>
  <c r="C82" i="3"/>
  <c r="C81" i="3"/>
  <c r="C80" i="3"/>
  <c r="C79" i="3"/>
  <c r="C78" i="3"/>
  <c r="C77" i="3"/>
  <c r="C76" i="3"/>
  <c r="C75" i="3"/>
  <c r="C74" i="3"/>
  <c r="C73" i="3"/>
  <c r="C72" i="3"/>
  <c r="C71" i="3"/>
  <c r="C70" i="3"/>
  <c r="C69" i="3"/>
  <c r="C68" i="3"/>
  <c r="C67" i="3"/>
  <c r="C66" i="3"/>
  <c r="C65" i="3"/>
  <c r="C64" i="3"/>
  <c r="C63" i="3"/>
  <c r="C62" i="3"/>
  <c r="C61" i="3"/>
  <c r="C60" i="3"/>
  <c r="C59" i="3"/>
  <c r="C58" i="3"/>
  <c r="C57" i="3"/>
  <c r="C56" i="3"/>
  <c r="C55" i="3"/>
  <c r="C54" i="3"/>
  <c r="C53" i="3"/>
  <c r="C52" i="3"/>
  <c r="C51" i="3"/>
  <c r="C50" i="3"/>
  <c r="C49" i="3"/>
  <c r="C48" i="3"/>
  <c r="C47" i="3"/>
  <c r="C46" i="3"/>
  <c r="C45" i="3"/>
  <c r="C44" i="3"/>
  <c r="C43" i="3"/>
  <c r="C42" i="3"/>
  <c r="C41" i="3"/>
  <c r="C40" i="3"/>
  <c r="C39" i="3"/>
  <c r="C38" i="3"/>
  <c r="C37" i="3"/>
  <c r="C36" i="3"/>
  <c r="C35" i="3"/>
  <c r="C34" i="3"/>
  <c r="C33" i="3"/>
  <c r="C32" i="3"/>
  <c r="C31" i="3"/>
  <c r="C30" i="3"/>
  <c r="C29" i="3"/>
  <c r="C28" i="3"/>
  <c r="C27" i="3"/>
  <c r="C26" i="3"/>
  <c r="C25" i="3"/>
  <c r="C24" i="3"/>
  <c r="C23" i="3"/>
  <c r="C22" i="3"/>
  <c r="C21" i="3"/>
  <c r="C20" i="3"/>
  <c r="C19" i="3"/>
  <c r="C18" i="3"/>
  <c r="C17" i="3"/>
  <c r="C16" i="3"/>
  <c r="C15" i="3"/>
  <c r="C14" i="3"/>
  <c r="C13" i="3"/>
  <c r="C12" i="3"/>
  <c r="E205" i="2"/>
  <c r="E204" i="2"/>
  <c r="E203" i="2"/>
  <c r="E202" i="2"/>
  <c r="E201" i="2"/>
  <c r="E200" i="2"/>
  <c r="E199" i="2"/>
  <c r="E198" i="2"/>
  <c r="E197" i="2"/>
  <c r="E196" i="2"/>
  <c r="E195" i="2"/>
  <c r="E194" i="2"/>
  <c r="E193" i="2"/>
  <c r="E192" i="2"/>
  <c r="E191" i="2"/>
  <c r="E190" i="2"/>
  <c r="E189" i="2"/>
  <c r="E188" i="2"/>
  <c r="E187" i="2"/>
  <c r="E186" i="2"/>
  <c r="E185" i="2"/>
  <c r="E184" i="2"/>
  <c r="E183" i="2"/>
  <c r="E182" i="2"/>
  <c r="E181" i="2"/>
  <c r="E180" i="2"/>
  <c r="E179" i="2"/>
  <c r="E178" i="2"/>
  <c r="E177" i="2"/>
  <c r="E176" i="2"/>
  <c r="E175" i="2"/>
  <c r="E174" i="2"/>
  <c r="E173" i="2"/>
  <c r="E172" i="2"/>
  <c r="E171" i="2"/>
  <c r="E170" i="2"/>
  <c r="E169" i="2"/>
  <c r="E168" i="2"/>
  <c r="E167" i="2"/>
  <c r="E166" i="2"/>
  <c r="E165" i="2"/>
  <c r="E164" i="2"/>
  <c r="E163" i="2"/>
  <c r="E162" i="2"/>
  <c r="E161" i="2"/>
  <c r="E160" i="2"/>
  <c r="E159" i="2"/>
  <c r="E158" i="2"/>
  <c r="E157" i="2"/>
  <c r="E156" i="2"/>
  <c r="E155" i="2"/>
  <c r="E154" i="2"/>
  <c r="E153" i="2"/>
  <c r="E152" i="2"/>
  <c r="E151" i="2"/>
  <c r="E150" i="2"/>
  <c r="E149" i="2"/>
  <c r="E148" i="2"/>
  <c r="E147" i="2"/>
  <c r="E146" i="2"/>
  <c r="E145" i="2"/>
  <c r="E144" i="2"/>
  <c r="E143" i="2"/>
  <c r="E142" i="2"/>
  <c r="E141" i="2"/>
  <c r="E140" i="2"/>
  <c r="E139" i="2"/>
  <c r="E138" i="2"/>
  <c r="E137" i="2"/>
  <c r="E136" i="2"/>
  <c r="E135" i="2"/>
  <c r="E134" i="2"/>
  <c r="E133" i="2"/>
  <c r="E132" i="2"/>
  <c r="E131" i="2"/>
  <c r="E130" i="2"/>
  <c r="E129" i="2"/>
  <c r="E128" i="2"/>
  <c r="E127" i="2"/>
  <c r="E126" i="2"/>
  <c r="E125" i="2"/>
  <c r="E124" i="2"/>
  <c r="E123" i="2"/>
  <c r="E122" i="2"/>
  <c r="E121" i="2"/>
  <c r="E120" i="2"/>
  <c r="E119" i="2"/>
  <c r="E118" i="2"/>
  <c r="E117" i="2"/>
  <c r="E116" i="2"/>
  <c r="E115" i="2"/>
  <c r="E114" i="2"/>
  <c r="E113" i="2"/>
  <c r="E112" i="2"/>
  <c r="E111" i="2"/>
  <c r="E110" i="2"/>
  <c r="E109" i="2"/>
  <c r="E108" i="2"/>
  <c r="E107" i="2"/>
  <c r="E106" i="2"/>
  <c r="E105" i="2"/>
  <c r="E104" i="2"/>
  <c r="E103" i="2"/>
  <c r="E102" i="2"/>
  <c r="E101" i="2"/>
  <c r="E100" i="2"/>
  <c r="E99" i="2"/>
  <c r="E98" i="2"/>
  <c r="E97" i="2"/>
  <c r="E96" i="2"/>
  <c r="E95" i="2"/>
  <c r="E94" i="2"/>
  <c r="E93" i="2"/>
  <c r="E92" i="2"/>
  <c r="E91" i="2"/>
  <c r="E90" i="2"/>
  <c r="E89" i="2"/>
  <c r="E88" i="2"/>
  <c r="E87" i="2"/>
  <c r="E86" i="2"/>
  <c r="E85" i="2"/>
  <c r="E84" i="2"/>
  <c r="E83" i="2"/>
  <c r="E82" i="2"/>
  <c r="E81" i="2"/>
  <c r="E80" i="2"/>
  <c r="E79" i="2"/>
  <c r="E78" i="2"/>
  <c r="E77" i="2"/>
  <c r="E76" i="2"/>
  <c r="E75" i="2"/>
  <c r="E74" i="2"/>
  <c r="E73" i="2"/>
  <c r="E72" i="2"/>
  <c r="E71" i="2"/>
  <c r="E70" i="2"/>
  <c r="E69" i="2"/>
  <c r="E68" i="2"/>
  <c r="E67" i="2"/>
  <c r="E66" i="2"/>
  <c r="E65" i="2"/>
  <c r="E64" i="2"/>
  <c r="E63" i="2"/>
  <c r="E62" i="2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B4" i="2" l="1"/>
  <c r="B3" i="2" s="1"/>
  <c r="B5" i="1" s="1"/>
  <c r="B8" i="3"/>
  <c r="B8" i="4"/>
  <c r="B6" i="4"/>
  <c r="B6" i="3"/>
  <c r="B9" i="3" s="1"/>
  <c r="B6" i="1" l="1"/>
  <c r="B9" i="4"/>
  <c r="B7" i="1" s="1"/>
  <c r="B9" i="1" l="1"/>
  <c r="C5" i="1" s="1"/>
  <c r="C6" i="1" l="1"/>
  <c r="C7" i="1"/>
  <c r="B10" i="1"/>
  <c r="B13" i="1" s="1"/>
</calcChain>
</file>

<file path=xl/sharedStrings.xml><?xml version="1.0" encoding="utf-8"?>
<sst xmlns="http://schemas.openxmlformats.org/spreadsheetml/2006/main" count="92" uniqueCount="63">
  <si>
    <t>MATERIAL</t>
  </si>
  <si>
    <t>TOTAL MATERIAL</t>
  </si>
  <si>
    <t>SERGI</t>
  </si>
  <si>
    <t>Tarifa €/hora</t>
  </si>
  <si>
    <t>TOTAL SERGI</t>
  </si>
  <si>
    <t>JORDI</t>
  </si>
  <si>
    <t>TOTAL JORDI</t>
  </si>
  <si>
    <t>Partida</t>
  </si>
  <si>
    <t>% sobre subtotal</t>
  </si>
  <si>
    <t>Material</t>
  </si>
  <si>
    <t>SUBTOTAL</t>
  </si>
  <si>
    <t>IVA</t>
  </si>
  <si>
    <t>Registra cada compra a les files de sota. L'import es calcula automàticament.</t>
  </si>
  <si>
    <t>Concepte</t>
  </si>
  <si>
    <t>Quantitat</t>
  </si>
  <si>
    <t>U.</t>
  </si>
  <si>
    <t>Preu unitari</t>
  </si>
  <si>
    <t>Import</t>
  </si>
  <si>
    <t>Total mà d'obra</t>
  </si>
  <si>
    <t>Total despeses</t>
  </si>
  <si>
    <t>MÀ D'OBRA</t>
  </si>
  <si>
    <t>Tasca</t>
  </si>
  <si>
    <t>Hores</t>
  </si>
  <si>
    <t>DESPESES</t>
  </si>
  <si>
    <t>PRESSUPOST MESTRE</t>
  </si>
  <si>
    <t>Resum consolidat de totes les pestanyes</t>
  </si>
  <si>
    <t>Tipus d'IVA</t>
  </si>
  <si>
    <t>TOTAL PRESSUPOST</t>
  </si>
  <si>
    <t>Programacio microprocessadors estacions</t>
  </si>
  <si>
    <t>Programacio receptor lora</t>
  </si>
  <si>
    <t>Programacio distribucio i assignament en DB</t>
  </si>
  <si>
    <t>Test de recepcio, assignacio i distribucio DB</t>
  </si>
  <si>
    <t>Disseny PCB</t>
  </si>
  <si>
    <t>Antena recepcio</t>
  </si>
  <si>
    <t>Preu €/km</t>
  </si>
  <si>
    <t>Total desplaçaments</t>
  </si>
  <si>
    <t>DESPLAÇAMENTS</t>
  </si>
  <si>
    <t>Destinació / motiu</t>
  </si>
  <si>
    <t>Km</t>
  </si>
  <si>
    <t>Mà d'obra, despeses i desplaçaments - Sergi</t>
  </si>
  <si>
    <t>Mà d'obra, despeses i desplaçaments - Jordi</t>
  </si>
  <si>
    <t>Ossera, Test inicial</t>
  </si>
  <si>
    <t>Programacio pagina web</t>
  </si>
  <si>
    <t>Test pagina web</t>
  </si>
  <si>
    <t>Ossera posada a punt final</t>
  </si>
  <si>
    <t>Ossera field review</t>
  </si>
  <si>
    <t>MATERIAL PER DIPÒSIT</t>
  </si>
  <si>
    <t>TOTAL MATERIAL PER DIPÒSIT</t>
  </si>
  <si>
    <t>Material comprat</t>
  </si>
  <si>
    <t>Material per dipòsit</t>
  </si>
  <si>
    <t>Pcb</t>
  </si>
  <si>
    <t>Caixa Pcb</t>
  </si>
  <si>
    <t>cablejat</t>
  </si>
  <si>
    <t>regulador pwm</t>
  </si>
  <si>
    <t>placa solar 12v 10w</t>
  </si>
  <si>
    <t>bateria</t>
  </si>
  <si>
    <t>antena</t>
  </si>
  <si>
    <t>Cost per dipòsit</t>
  </si>
  <si>
    <t>Nombre de dipòsits</t>
  </si>
  <si>
    <t>sensor pressio</t>
  </si>
  <si>
    <t>tub encapsulat sensor</t>
  </si>
  <si>
    <t>RAKWireless RAK7268V2 (WisGate Developer D-sub)</t>
  </si>
  <si>
    <t>cablejat i soports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</si>
</sst>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 \€"/>
    <numFmt numFmtId="165" formatCode="0.0%"/>
  </numFmts>
  <fonts count="1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rgb="FF1F3864"/>
      <name val="Aptos Narrow"/>
      <family val="2"/>
      <scheme val="minor"/>
    </font>
    <font>
      <i/>
      <sz val="9"/>
      <color rgb="FF808080"/>
      <name val="Aptos Narrow"/>
      <family val="2"/>
      <scheme val="minor"/>
    </font>
    <font>
      <sz val="11"/>
      <color rgb="FF0000FF"/>
      <name val="Aptos Narrow"/>
      <family val="2"/>
      <scheme val="minor"/>
    </font>
    <font>
      <b/>
      <sz val="11"/>
      <color rgb="FF1F3864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sz val="18"/>
      <color rgb="FF1F3864"/>
      <name val="Aptos Narrow"/>
      <family val="2"/>
      <scheme val="minor"/>
    </font>
    <font>
      <i/>
      <sz val="11"/>
      <color rgb="FF808080"/>
      <name val="Aptos Narrow"/>
      <family val="2"/>
      <scheme val="minor"/>
    </font>
    <font>
      <sz val="11"/>
      <color rgb="FF0080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rgb="FF008000"/>
      <name val="Aptos Narrow"/>
      <family val="2"/>
      <scheme val="minor"/>
    </font>
    <font>
      <b/>
      <sz val="11"/>
      <color rgb="FF0000FF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 style="double">
        <color auto="1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0" borderId="0" xfId="0" applyFont="1"/>
    <xf numFmtId="0" fontId="1" fillId="0" borderId="0" xfId="0" applyFont="1"/>
    <xf numFmtId="164" fontId="1" fillId="2" borderId="0" xfId="0" applyNumberFormat="1" applyFont="1" applyFill="1"/>
    <xf numFmtId="0" fontId="3" fillId="0" borderId="0" xfId="0" applyFont="1"/>
    <xf numFmtId="164" fontId="0" fillId="0" borderId="0" xfId="0" applyNumberFormat="1"/>
    <xf numFmtId="4" fontId="0" fillId="0" borderId="0" xfId="0" applyNumberFormat="1"/>
    <xf numFmtId="164" fontId="4" fillId="0" borderId="0" xfId="0" applyNumberFormat="1" applyFont="1"/>
    <xf numFmtId="164" fontId="4" fillId="3" borderId="0" xfId="0" applyNumberFormat="1" applyFont="1" applyFill="1"/>
    <xf numFmtId="0" fontId="5" fillId="0" borderId="0" xfId="0" applyFont="1"/>
    <xf numFmtId="4" fontId="4" fillId="0" borderId="0" xfId="0" applyNumberFormat="1" applyFont="1"/>
    <xf numFmtId="0" fontId="6" fillId="4" borderId="0" xfId="0" applyFont="1" applyFill="1" applyAlignment="1">
      <alignment horizontal="center"/>
    </xf>
    <xf numFmtId="0" fontId="7" fillId="0" borderId="0" xfId="0" applyFont="1"/>
    <xf numFmtId="0" fontId="8" fillId="0" borderId="0" xfId="0" applyFont="1"/>
    <xf numFmtId="165" fontId="4" fillId="3" borderId="0" xfId="0" applyNumberFormat="1" applyFont="1" applyFill="1"/>
    <xf numFmtId="164" fontId="9" fillId="0" borderId="0" xfId="0" applyNumberFormat="1" applyFont="1"/>
    <xf numFmtId="165" fontId="0" fillId="0" borderId="0" xfId="0" applyNumberFormat="1"/>
    <xf numFmtId="0" fontId="1" fillId="0" borderId="1" xfId="0" applyFont="1" applyBorder="1"/>
    <xf numFmtId="164" fontId="1" fillId="0" borderId="1" xfId="0" applyNumberFormat="1" applyFont="1" applyBorder="1"/>
    <xf numFmtId="0" fontId="0" fillId="0" borderId="1" xfId="0" applyBorder="1"/>
    <xf numFmtId="0" fontId="10" fillId="0" borderId="2" xfId="0" applyFont="1" applyBorder="1"/>
    <xf numFmtId="164" fontId="10" fillId="2" borderId="2" xfId="0" applyNumberFormat="1" applyFont="1" applyFill="1" applyBorder="1"/>
    <xf numFmtId="0" fontId="0" fillId="0" borderId="2" xfId="0" applyBorder="1"/>
    <xf numFmtId="164" fontId="11" fillId="2" borderId="0" xfId="0" applyNumberFormat="1" applyFont="1" applyFill="1"/>
    <xf numFmtId="164" fontId="0" fillId="5" borderId="0" xfId="0" applyNumberFormat="1" applyFill="1"/>
    <xf numFmtId="3" fontId="12" fillId="3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F5A3234-D7DF-4BE3-9AC3-80BDA06162BD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c7c2e56d-a67d-4575-a7a2-f46737066f7c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F3625-1909-458F-982F-1A1771DC272D}">
  <dimension ref="A1:C13"/>
  <sheetViews>
    <sheetView tabSelected="1" workbookViewId="0">
      <selection activeCell="C19" sqref="C19"/>
    </sheetView>
  </sheetViews>
  <sheetFormatPr baseColWidth="10" defaultRowHeight="15" x14ac:dyDescent="0.25"/>
  <cols>
    <col min="1" max="1" width="45.7109375" customWidth="1"/>
    <col min="2" max="3" width="22.85546875" customWidth="1"/>
  </cols>
  <sheetData>
    <row r="1" spans="1:3" ht="24" x14ac:dyDescent="0.4">
      <c r="A1" s="12" t="s">
        <v>24</v>
      </c>
    </row>
    <row r="2" spans="1:3" x14ac:dyDescent="0.25">
      <c r="A2" s="13" t="s">
        <v>25</v>
      </c>
    </row>
    <row r="4" spans="1:3" x14ac:dyDescent="0.25">
      <c r="A4" s="11" t="s">
        <v>7</v>
      </c>
      <c r="B4" s="11" t="s">
        <v>17</v>
      </c>
      <c r="C4" s="11" t="s">
        <v>8</v>
      </c>
    </row>
    <row r="5" spans="1:3" x14ac:dyDescent="0.25">
      <c r="A5" t="s">
        <v>9</v>
      </c>
      <c r="B5" s="15">
        <f>Material!B3</f>
        <v>6592</v>
      </c>
      <c r="C5" s="16">
        <f>IF($B$9=0,"",B5/$B$9)</f>
        <v>0.46295385911932019</v>
      </c>
    </row>
    <row r="6" spans="1:3" x14ac:dyDescent="0.25">
      <c r="A6" t="s">
        <v>39</v>
      </c>
      <c r="B6" s="15">
        <f>Sergi!B9</f>
        <v>0</v>
      </c>
      <c r="C6" s="16">
        <f>IF($B$9=0,"",B6/$B$9)</f>
        <v>0</v>
      </c>
    </row>
    <row r="7" spans="1:3" x14ac:dyDescent="0.25">
      <c r="A7" t="s">
        <v>40</v>
      </c>
      <c r="B7" s="15">
        <f>Jordi!B9</f>
        <v>7647</v>
      </c>
      <c r="C7" s="16">
        <f>IF($B$9=0,"",B7/$B$9)</f>
        <v>0.53704614088067981</v>
      </c>
    </row>
    <row r="8" spans="1:3" x14ac:dyDescent="0.25">
      <c r="B8" s="5"/>
    </row>
    <row r="9" spans="1:3" x14ac:dyDescent="0.25">
      <c r="A9" s="17" t="s">
        <v>10</v>
      </c>
      <c r="B9" s="18">
        <f>SUM(B5:B7)</f>
        <v>14239</v>
      </c>
      <c r="C9" s="19"/>
    </row>
    <row r="10" spans="1:3" x14ac:dyDescent="0.25">
      <c r="A10" t="s">
        <v>11</v>
      </c>
      <c r="B10" s="5">
        <f>B9*B11</f>
        <v>2990.19</v>
      </c>
    </row>
    <row r="11" spans="1:3" x14ac:dyDescent="0.25">
      <c r="A11" t="s">
        <v>26</v>
      </c>
      <c r="B11" s="14">
        <v>0.21</v>
      </c>
    </row>
    <row r="12" spans="1:3" ht="15.75" thickBot="1" x14ac:dyDescent="0.3">
      <c r="B12" s="5"/>
    </row>
    <row r="13" spans="1:3" ht="16.5" thickTop="1" x14ac:dyDescent="0.25">
      <c r="A13" s="20" t="s">
        <v>27</v>
      </c>
      <c r="B13" s="21">
        <f>B9+B10</f>
        <v>17229.189999999999</v>
      </c>
      <c r="C13" s="2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C92E6-FD7D-40CC-A169-2A64A6FFFFEB}">
  <dimension ref="A1:E205"/>
  <sheetViews>
    <sheetView workbookViewId="0">
      <pane ySplit="8" topLeftCell="A9" activePane="bottomLeft" state="frozen"/>
      <selection pane="bottomLeft" activeCell="A10" sqref="A10"/>
    </sheetView>
  </sheetViews>
  <sheetFormatPr baseColWidth="10" defaultRowHeight="15" x14ac:dyDescent="0.25"/>
  <cols>
    <col min="1" max="1" width="45.7109375" customWidth="1"/>
    <col min="2" max="5" width="21" customWidth="1"/>
    <col min="6" max="7" width="19" customWidth="1"/>
  </cols>
  <sheetData>
    <row r="1" spans="1:5" ht="21" x14ac:dyDescent="0.35">
      <c r="A1" s="1" t="s">
        <v>0</v>
      </c>
    </row>
    <row r="3" spans="1:5" x14ac:dyDescent="0.25">
      <c r="A3" s="2" t="s">
        <v>1</v>
      </c>
      <c r="B3" s="3">
        <f>B4+B5</f>
        <v>6592</v>
      </c>
    </row>
    <row r="4" spans="1:5" x14ac:dyDescent="0.25">
      <c r="A4" s="2" t="s">
        <v>48</v>
      </c>
      <c r="B4" s="3">
        <f>SUM(E9:E205)</f>
        <v>310</v>
      </c>
    </row>
    <row r="5" spans="1:5" x14ac:dyDescent="0.25">
      <c r="A5" s="2" t="s">
        <v>49</v>
      </c>
      <c r="B5" s="23">
        <f>'Material per diposit'!B5</f>
        <v>6282</v>
      </c>
    </row>
    <row r="7" spans="1:5" x14ac:dyDescent="0.25">
      <c r="A7" s="4" t="s">
        <v>12</v>
      </c>
    </row>
    <row r="8" spans="1:5" x14ac:dyDescent="0.25">
      <c r="A8" s="11" t="s">
        <v>13</v>
      </c>
      <c r="B8" s="11" t="s">
        <v>14</v>
      </c>
      <c r="C8" s="11" t="s">
        <v>15</v>
      </c>
      <c r="D8" s="11" t="s">
        <v>16</v>
      </c>
      <c r="E8" s="11" t="s">
        <v>17</v>
      </c>
    </row>
    <row r="9" spans="1:5" x14ac:dyDescent="0.25">
      <c r="A9" t="s">
        <v>33</v>
      </c>
      <c r="B9" s="6">
        <v>1</v>
      </c>
      <c r="D9" s="7">
        <v>60</v>
      </c>
      <c r="E9" s="5">
        <f t="shared" ref="E9:E70" si="0">IF(OR($B9="",$D9=""),"",$B9*$D9)</f>
        <v>60</v>
      </c>
    </row>
    <row r="10" spans="1:5" x14ac:dyDescent="0.25">
      <c r="A10" t="s">
        <v>61</v>
      </c>
      <c r="B10" s="6">
        <v>1</v>
      </c>
      <c r="D10" s="7">
        <v>200</v>
      </c>
      <c r="E10" s="5">
        <f t="shared" si="0"/>
        <v>200</v>
      </c>
    </row>
    <row r="11" spans="1:5" x14ac:dyDescent="0.25">
      <c r="A11" t="s">
        <v>62</v>
      </c>
      <c r="B11" s="6">
        <v>1</v>
      </c>
      <c r="D11" s="7">
        <v>50</v>
      </c>
      <c r="E11" s="5">
        <f t="shared" si="0"/>
        <v>50</v>
      </c>
    </row>
    <row r="12" spans="1:5" x14ac:dyDescent="0.25">
      <c r="B12" s="6"/>
      <c r="D12" s="7"/>
      <c r="E12" s="5" t="str">
        <f t="shared" si="0"/>
        <v/>
      </c>
    </row>
    <row r="13" spans="1:5" x14ac:dyDescent="0.25">
      <c r="B13" s="6"/>
      <c r="D13" s="7"/>
      <c r="E13" s="5" t="str">
        <f t="shared" si="0"/>
        <v/>
      </c>
    </row>
    <row r="14" spans="1:5" x14ac:dyDescent="0.25">
      <c r="B14" s="6"/>
      <c r="D14" s="7"/>
      <c r="E14" s="5" t="str">
        <f t="shared" si="0"/>
        <v/>
      </c>
    </row>
    <row r="15" spans="1:5" x14ac:dyDescent="0.25">
      <c r="B15" s="6"/>
      <c r="D15" s="7"/>
      <c r="E15" s="5" t="str">
        <f t="shared" si="0"/>
        <v/>
      </c>
    </row>
    <row r="16" spans="1:5" x14ac:dyDescent="0.25">
      <c r="B16" s="6"/>
      <c r="D16" s="7"/>
      <c r="E16" s="5" t="str">
        <f t="shared" si="0"/>
        <v/>
      </c>
    </row>
    <row r="17" spans="2:5" x14ac:dyDescent="0.25">
      <c r="B17" s="6"/>
      <c r="D17" s="7"/>
      <c r="E17" s="5" t="str">
        <f t="shared" si="0"/>
        <v/>
      </c>
    </row>
    <row r="18" spans="2:5" x14ac:dyDescent="0.25">
      <c r="B18" s="6"/>
      <c r="D18" s="7"/>
      <c r="E18" s="5" t="str">
        <f t="shared" si="0"/>
        <v/>
      </c>
    </row>
    <row r="19" spans="2:5" x14ac:dyDescent="0.25">
      <c r="B19" s="6"/>
      <c r="D19" s="7"/>
      <c r="E19" s="5" t="str">
        <f t="shared" si="0"/>
        <v/>
      </c>
    </row>
    <row r="20" spans="2:5" x14ac:dyDescent="0.25">
      <c r="B20" s="6"/>
      <c r="D20" s="7"/>
      <c r="E20" s="5" t="str">
        <f t="shared" si="0"/>
        <v/>
      </c>
    </row>
    <row r="21" spans="2:5" x14ac:dyDescent="0.25">
      <c r="B21" s="6"/>
      <c r="D21" s="7"/>
      <c r="E21" s="5" t="str">
        <f t="shared" si="0"/>
        <v/>
      </c>
    </row>
    <row r="22" spans="2:5" x14ac:dyDescent="0.25">
      <c r="B22" s="6"/>
      <c r="D22" s="7"/>
      <c r="E22" s="5" t="str">
        <f t="shared" si="0"/>
        <v/>
      </c>
    </row>
    <row r="23" spans="2:5" x14ac:dyDescent="0.25">
      <c r="B23" s="6"/>
      <c r="D23" s="7"/>
      <c r="E23" s="5" t="str">
        <f t="shared" si="0"/>
        <v/>
      </c>
    </row>
    <row r="24" spans="2:5" x14ac:dyDescent="0.25">
      <c r="B24" s="6"/>
      <c r="D24" s="7"/>
      <c r="E24" s="5" t="str">
        <f t="shared" si="0"/>
        <v/>
      </c>
    </row>
    <row r="25" spans="2:5" x14ac:dyDescent="0.25">
      <c r="B25" s="6"/>
      <c r="D25" s="7"/>
      <c r="E25" s="5" t="str">
        <f t="shared" si="0"/>
        <v/>
      </c>
    </row>
    <row r="26" spans="2:5" x14ac:dyDescent="0.25">
      <c r="B26" s="6"/>
      <c r="D26" s="7"/>
      <c r="E26" s="5" t="str">
        <f t="shared" si="0"/>
        <v/>
      </c>
    </row>
    <row r="27" spans="2:5" x14ac:dyDescent="0.25">
      <c r="B27" s="6"/>
      <c r="D27" s="7"/>
      <c r="E27" s="5" t="str">
        <f t="shared" si="0"/>
        <v/>
      </c>
    </row>
    <row r="28" spans="2:5" x14ac:dyDescent="0.25">
      <c r="B28" s="6"/>
      <c r="D28" s="7"/>
      <c r="E28" s="5" t="str">
        <f t="shared" si="0"/>
        <v/>
      </c>
    </row>
    <row r="29" spans="2:5" x14ac:dyDescent="0.25">
      <c r="B29" s="6"/>
      <c r="D29" s="7"/>
      <c r="E29" s="5" t="str">
        <f t="shared" si="0"/>
        <v/>
      </c>
    </row>
    <row r="30" spans="2:5" x14ac:dyDescent="0.25">
      <c r="B30" s="6"/>
      <c r="D30" s="7"/>
      <c r="E30" s="5" t="str">
        <f t="shared" si="0"/>
        <v/>
      </c>
    </row>
    <row r="31" spans="2:5" x14ac:dyDescent="0.25">
      <c r="B31" s="6"/>
      <c r="D31" s="7"/>
      <c r="E31" s="5" t="str">
        <f t="shared" si="0"/>
        <v/>
      </c>
    </row>
    <row r="32" spans="2:5" x14ac:dyDescent="0.25">
      <c r="B32" s="6"/>
      <c r="D32" s="7"/>
      <c r="E32" s="5" t="str">
        <f t="shared" si="0"/>
        <v/>
      </c>
    </row>
    <row r="33" spans="2:5" x14ac:dyDescent="0.25">
      <c r="B33" s="6"/>
      <c r="D33" s="7"/>
      <c r="E33" s="5" t="str">
        <f t="shared" si="0"/>
        <v/>
      </c>
    </row>
    <row r="34" spans="2:5" x14ac:dyDescent="0.25">
      <c r="B34" s="6"/>
      <c r="D34" s="7"/>
      <c r="E34" s="5" t="str">
        <f t="shared" si="0"/>
        <v/>
      </c>
    </row>
    <row r="35" spans="2:5" x14ac:dyDescent="0.25">
      <c r="B35" s="6"/>
      <c r="D35" s="7"/>
      <c r="E35" s="5" t="str">
        <f t="shared" si="0"/>
        <v/>
      </c>
    </row>
    <row r="36" spans="2:5" x14ac:dyDescent="0.25">
      <c r="B36" s="6"/>
      <c r="D36" s="7"/>
      <c r="E36" s="5" t="str">
        <f t="shared" si="0"/>
        <v/>
      </c>
    </row>
    <row r="37" spans="2:5" x14ac:dyDescent="0.25">
      <c r="B37" s="6"/>
      <c r="D37" s="7"/>
      <c r="E37" s="5" t="str">
        <f t="shared" si="0"/>
        <v/>
      </c>
    </row>
    <row r="38" spans="2:5" x14ac:dyDescent="0.25">
      <c r="B38" s="6"/>
      <c r="D38" s="7"/>
      <c r="E38" s="5" t="str">
        <f t="shared" si="0"/>
        <v/>
      </c>
    </row>
    <row r="39" spans="2:5" x14ac:dyDescent="0.25">
      <c r="B39" s="6"/>
      <c r="D39" s="7"/>
      <c r="E39" s="5" t="str">
        <f t="shared" si="0"/>
        <v/>
      </c>
    </row>
    <row r="40" spans="2:5" x14ac:dyDescent="0.25">
      <c r="B40" s="6"/>
      <c r="D40" s="7"/>
      <c r="E40" s="5" t="str">
        <f t="shared" si="0"/>
        <v/>
      </c>
    </row>
    <row r="41" spans="2:5" x14ac:dyDescent="0.25">
      <c r="B41" s="6"/>
      <c r="D41" s="7"/>
      <c r="E41" s="5" t="str">
        <f t="shared" si="0"/>
        <v/>
      </c>
    </row>
    <row r="42" spans="2:5" x14ac:dyDescent="0.25">
      <c r="B42" s="6"/>
      <c r="D42" s="7"/>
      <c r="E42" s="5" t="str">
        <f t="shared" si="0"/>
        <v/>
      </c>
    </row>
    <row r="43" spans="2:5" x14ac:dyDescent="0.25">
      <c r="B43" s="6"/>
      <c r="D43" s="7"/>
      <c r="E43" s="5" t="str">
        <f t="shared" si="0"/>
        <v/>
      </c>
    </row>
    <row r="44" spans="2:5" x14ac:dyDescent="0.25">
      <c r="B44" s="6"/>
      <c r="D44" s="7"/>
      <c r="E44" s="5" t="str">
        <f t="shared" si="0"/>
        <v/>
      </c>
    </row>
    <row r="45" spans="2:5" x14ac:dyDescent="0.25">
      <c r="B45" s="6"/>
      <c r="D45" s="7"/>
      <c r="E45" s="5" t="str">
        <f t="shared" si="0"/>
        <v/>
      </c>
    </row>
    <row r="46" spans="2:5" x14ac:dyDescent="0.25">
      <c r="B46" s="6"/>
      <c r="D46" s="7"/>
      <c r="E46" s="5" t="str">
        <f t="shared" si="0"/>
        <v/>
      </c>
    </row>
    <row r="47" spans="2:5" x14ac:dyDescent="0.25">
      <c r="B47" s="6"/>
      <c r="D47" s="7"/>
      <c r="E47" s="5" t="str">
        <f t="shared" si="0"/>
        <v/>
      </c>
    </row>
    <row r="48" spans="2:5" x14ac:dyDescent="0.25">
      <c r="B48" s="6"/>
      <c r="D48" s="7"/>
      <c r="E48" s="5" t="str">
        <f t="shared" si="0"/>
        <v/>
      </c>
    </row>
    <row r="49" spans="2:5" x14ac:dyDescent="0.25">
      <c r="B49" s="6"/>
      <c r="D49" s="7"/>
      <c r="E49" s="5" t="str">
        <f t="shared" si="0"/>
        <v/>
      </c>
    </row>
    <row r="50" spans="2:5" x14ac:dyDescent="0.25">
      <c r="B50" s="6"/>
      <c r="D50" s="7"/>
      <c r="E50" s="5" t="str">
        <f t="shared" si="0"/>
        <v/>
      </c>
    </row>
    <row r="51" spans="2:5" x14ac:dyDescent="0.25">
      <c r="B51" s="6"/>
      <c r="D51" s="7"/>
      <c r="E51" s="5" t="str">
        <f t="shared" si="0"/>
        <v/>
      </c>
    </row>
    <row r="52" spans="2:5" x14ac:dyDescent="0.25">
      <c r="B52" s="6"/>
      <c r="D52" s="7"/>
      <c r="E52" s="5" t="str">
        <f t="shared" si="0"/>
        <v/>
      </c>
    </row>
    <row r="53" spans="2:5" x14ac:dyDescent="0.25">
      <c r="B53" s="6"/>
      <c r="D53" s="7"/>
      <c r="E53" s="5" t="str">
        <f t="shared" si="0"/>
        <v/>
      </c>
    </row>
    <row r="54" spans="2:5" x14ac:dyDescent="0.25">
      <c r="B54" s="6"/>
      <c r="D54" s="7"/>
      <c r="E54" s="5" t="str">
        <f t="shared" si="0"/>
        <v/>
      </c>
    </row>
    <row r="55" spans="2:5" x14ac:dyDescent="0.25">
      <c r="B55" s="6"/>
      <c r="D55" s="7"/>
      <c r="E55" s="5" t="str">
        <f t="shared" si="0"/>
        <v/>
      </c>
    </row>
    <row r="56" spans="2:5" x14ac:dyDescent="0.25">
      <c r="B56" s="6"/>
      <c r="D56" s="7"/>
      <c r="E56" s="5" t="str">
        <f t="shared" si="0"/>
        <v/>
      </c>
    </row>
    <row r="57" spans="2:5" x14ac:dyDescent="0.25">
      <c r="B57" s="6"/>
      <c r="D57" s="7"/>
      <c r="E57" s="5" t="str">
        <f t="shared" si="0"/>
        <v/>
      </c>
    </row>
    <row r="58" spans="2:5" x14ac:dyDescent="0.25">
      <c r="B58" s="6"/>
      <c r="D58" s="7"/>
      <c r="E58" s="5" t="str">
        <f t="shared" si="0"/>
        <v/>
      </c>
    </row>
    <row r="59" spans="2:5" x14ac:dyDescent="0.25">
      <c r="B59" s="6"/>
      <c r="D59" s="7"/>
      <c r="E59" s="5" t="str">
        <f t="shared" si="0"/>
        <v/>
      </c>
    </row>
    <row r="60" spans="2:5" x14ac:dyDescent="0.25">
      <c r="B60" s="6"/>
      <c r="D60" s="7"/>
      <c r="E60" s="5" t="str">
        <f t="shared" si="0"/>
        <v/>
      </c>
    </row>
    <row r="61" spans="2:5" x14ac:dyDescent="0.25">
      <c r="B61" s="6"/>
      <c r="D61" s="7"/>
      <c r="E61" s="5" t="str">
        <f t="shared" si="0"/>
        <v/>
      </c>
    </row>
    <row r="62" spans="2:5" x14ac:dyDescent="0.25">
      <c r="B62" s="6"/>
      <c r="D62" s="7"/>
      <c r="E62" s="5" t="str">
        <f t="shared" si="0"/>
        <v/>
      </c>
    </row>
    <row r="63" spans="2:5" x14ac:dyDescent="0.25">
      <c r="B63" s="6"/>
      <c r="D63" s="7"/>
      <c r="E63" s="5" t="str">
        <f t="shared" si="0"/>
        <v/>
      </c>
    </row>
    <row r="64" spans="2:5" x14ac:dyDescent="0.25">
      <c r="B64" s="6"/>
      <c r="D64" s="7"/>
      <c r="E64" s="5" t="str">
        <f t="shared" si="0"/>
        <v/>
      </c>
    </row>
    <row r="65" spans="2:5" x14ac:dyDescent="0.25">
      <c r="B65" s="6"/>
      <c r="D65" s="7"/>
      <c r="E65" s="5" t="str">
        <f t="shared" si="0"/>
        <v/>
      </c>
    </row>
    <row r="66" spans="2:5" x14ac:dyDescent="0.25">
      <c r="B66" s="6"/>
      <c r="D66" s="7"/>
      <c r="E66" s="5" t="str">
        <f t="shared" si="0"/>
        <v/>
      </c>
    </row>
    <row r="67" spans="2:5" x14ac:dyDescent="0.25">
      <c r="B67" s="6"/>
      <c r="D67" s="7"/>
      <c r="E67" s="5" t="str">
        <f t="shared" si="0"/>
        <v/>
      </c>
    </row>
    <row r="68" spans="2:5" x14ac:dyDescent="0.25">
      <c r="B68" s="6"/>
      <c r="D68" s="7"/>
      <c r="E68" s="5" t="str">
        <f t="shared" si="0"/>
        <v/>
      </c>
    </row>
    <row r="69" spans="2:5" x14ac:dyDescent="0.25">
      <c r="B69" s="6"/>
      <c r="D69" s="7"/>
      <c r="E69" s="5" t="str">
        <f t="shared" si="0"/>
        <v/>
      </c>
    </row>
    <row r="70" spans="2:5" x14ac:dyDescent="0.25">
      <c r="B70" s="6"/>
      <c r="D70" s="7"/>
      <c r="E70" s="5" t="str">
        <f t="shared" si="0"/>
        <v/>
      </c>
    </row>
    <row r="71" spans="2:5" x14ac:dyDescent="0.25">
      <c r="B71" s="6"/>
      <c r="D71" s="7"/>
      <c r="E71" s="5" t="str">
        <f t="shared" ref="E71:E134" si="1">IF(OR($B71="",$D71=""),"",$B71*$D71)</f>
        <v/>
      </c>
    </row>
    <row r="72" spans="2:5" x14ac:dyDescent="0.25">
      <c r="B72" s="6"/>
      <c r="D72" s="7"/>
      <c r="E72" s="5" t="str">
        <f t="shared" si="1"/>
        <v/>
      </c>
    </row>
    <row r="73" spans="2:5" x14ac:dyDescent="0.25">
      <c r="B73" s="6"/>
      <c r="D73" s="7"/>
      <c r="E73" s="5" t="str">
        <f t="shared" si="1"/>
        <v/>
      </c>
    </row>
    <row r="74" spans="2:5" x14ac:dyDescent="0.25">
      <c r="B74" s="6"/>
      <c r="D74" s="7"/>
      <c r="E74" s="5" t="str">
        <f t="shared" si="1"/>
        <v/>
      </c>
    </row>
    <row r="75" spans="2:5" x14ac:dyDescent="0.25">
      <c r="B75" s="6"/>
      <c r="D75" s="7"/>
      <c r="E75" s="5" t="str">
        <f t="shared" si="1"/>
        <v/>
      </c>
    </row>
    <row r="76" spans="2:5" x14ac:dyDescent="0.25">
      <c r="B76" s="6"/>
      <c r="D76" s="7"/>
      <c r="E76" s="5" t="str">
        <f t="shared" si="1"/>
        <v/>
      </c>
    </row>
    <row r="77" spans="2:5" x14ac:dyDescent="0.25">
      <c r="B77" s="6"/>
      <c r="D77" s="7"/>
      <c r="E77" s="5" t="str">
        <f t="shared" si="1"/>
        <v/>
      </c>
    </row>
    <row r="78" spans="2:5" x14ac:dyDescent="0.25">
      <c r="B78" s="6"/>
      <c r="D78" s="7"/>
      <c r="E78" s="5" t="str">
        <f t="shared" si="1"/>
        <v/>
      </c>
    </row>
    <row r="79" spans="2:5" x14ac:dyDescent="0.25">
      <c r="B79" s="6"/>
      <c r="D79" s="7"/>
      <c r="E79" s="5" t="str">
        <f t="shared" si="1"/>
        <v/>
      </c>
    </row>
    <row r="80" spans="2:5" x14ac:dyDescent="0.25">
      <c r="B80" s="6"/>
      <c r="D80" s="7"/>
      <c r="E80" s="5" t="str">
        <f t="shared" si="1"/>
        <v/>
      </c>
    </row>
    <row r="81" spans="2:5" x14ac:dyDescent="0.25">
      <c r="B81" s="6"/>
      <c r="D81" s="7"/>
      <c r="E81" s="5" t="str">
        <f t="shared" si="1"/>
        <v/>
      </c>
    </row>
    <row r="82" spans="2:5" x14ac:dyDescent="0.25">
      <c r="B82" s="6"/>
      <c r="D82" s="7"/>
      <c r="E82" s="5" t="str">
        <f t="shared" si="1"/>
        <v/>
      </c>
    </row>
    <row r="83" spans="2:5" x14ac:dyDescent="0.25">
      <c r="B83" s="6"/>
      <c r="D83" s="7"/>
      <c r="E83" s="5" t="str">
        <f t="shared" si="1"/>
        <v/>
      </c>
    </row>
    <row r="84" spans="2:5" x14ac:dyDescent="0.25">
      <c r="B84" s="6"/>
      <c r="D84" s="7"/>
      <c r="E84" s="5" t="str">
        <f t="shared" si="1"/>
        <v/>
      </c>
    </row>
    <row r="85" spans="2:5" x14ac:dyDescent="0.25">
      <c r="B85" s="6"/>
      <c r="D85" s="7"/>
      <c r="E85" s="5" t="str">
        <f t="shared" si="1"/>
        <v/>
      </c>
    </row>
    <row r="86" spans="2:5" x14ac:dyDescent="0.25">
      <c r="B86" s="6"/>
      <c r="D86" s="7"/>
      <c r="E86" s="5" t="str">
        <f t="shared" si="1"/>
        <v/>
      </c>
    </row>
    <row r="87" spans="2:5" x14ac:dyDescent="0.25">
      <c r="B87" s="6"/>
      <c r="D87" s="7"/>
      <c r="E87" s="5" t="str">
        <f t="shared" si="1"/>
        <v/>
      </c>
    </row>
    <row r="88" spans="2:5" x14ac:dyDescent="0.25">
      <c r="B88" s="6"/>
      <c r="D88" s="7"/>
      <c r="E88" s="5" t="str">
        <f t="shared" si="1"/>
        <v/>
      </c>
    </row>
    <row r="89" spans="2:5" x14ac:dyDescent="0.25">
      <c r="B89" s="6"/>
      <c r="D89" s="7"/>
      <c r="E89" s="5" t="str">
        <f t="shared" si="1"/>
        <v/>
      </c>
    </row>
    <row r="90" spans="2:5" x14ac:dyDescent="0.25">
      <c r="B90" s="6"/>
      <c r="D90" s="7"/>
      <c r="E90" s="5" t="str">
        <f t="shared" si="1"/>
        <v/>
      </c>
    </row>
    <row r="91" spans="2:5" x14ac:dyDescent="0.25">
      <c r="B91" s="6"/>
      <c r="D91" s="7"/>
      <c r="E91" s="5" t="str">
        <f t="shared" si="1"/>
        <v/>
      </c>
    </row>
    <row r="92" spans="2:5" x14ac:dyDescent="0.25">
      <c r="B92" s="6"/>
      <c r="D92" s="7"/>
      <c r="E92" s="5" t="str">
        <f t="shared" si="1"/>
        <v/>
      </c>
    </row>
    <row r="93" spans="2:5" x14ac:dyDescent="0.25">
      <c r="B93" s="6"/>
      <c r="D93" s="7"/>
      <c r="E93" s="5" t="str">
        <f t="shared" si="1"/>
        <v/>
      </c>
    </row>
    <row r="94" spans="2:5" x14ac:dyDescent="0.25">
      <c r="B94" s="6"/>
      <c r="D94" s="7"/>
      <c r="E94" s="5" t="str">
        <f t="shared" si="1"/>
        <v/>
      </c>
    </row>
    <row r="95" spans="2:5" x14ac:dyDescent="0.25">
      <c r="B95" s="6"/>
      <c r="D95" s="7"/>
      <c r="E95" s="5" t="str">
        <f t="shared" si="1"/>
        <v/>
      </c>
    </row>
    <row r="96" spans="2:5" x14ac:dyDescent="0.25">
      <c r="B96" s="6"/>
      <c r="D96" s="7"/>
      <c r="E96" s="5" t="str">
        <f t="shared" si="1"/>
        <v/>
      </c>
    </row>
    <row r="97" spans="2:5" x14ac:dyDescent="0.25">
      <c r="B97" s="6"/>
      <c r="D97" s="7"/>
      <c r="E97" s="5" t="str">
        <f t="shared" si="1"/>
        <v/>
      </c>
    </row>
    <row r="98" spans="2:5" x14ac:dyDescent="0.25">
      <c r="B98" s="6"/>
      <c r="D98" s="7"/>
      <c r="E98" s="5" t="str">
        <f t="shared" si="1"/>
        <v/>
      </c>
    </row>
    <row r="99" spans="2:5" x14ac:dyDescent="0.25">
      <c r="B99" s="6"/>
      <c r="D99" s="7"/>
      <c r="E99" s="5" t="str">
        <f t="shared" si="1"/>
        <v/>
      </c>
    </row>
    <row r="100" spans="2:5" x14ac:dyDescent="0.25">
      <c r="B100" s="6"/>
      <c r="D100" s="7"/>
      <c r="E100" s="5" t="str">
        <f t="shared" si="1"/>
        <v/>
      </c>
    </row>
    <row r="101" spans="2:5" x14ac:dyDescent="0.25">
      <c r="B101" s="6"/>
      <c r="D101" s="7"/>
      <c r="E101" s="5" t="str">
        <f t="shared" si="1"/>
        <v/>
      </c>
    </row>
    <row r="102" spans="2:5" x14ac:dyDescent="0.25">
      <c r="B102" s="6"/>
      <c r="D102" s="7"/>
      <c r="E102" s="5" t="str">
        <f t="shared" si="1"/>
        <v/>
      </c>
    </row>
    <row r="103" spans="2:5" x14ac:dyDescent="0.25">
      <c r="B103" s="6"/>
      <c r="D103" s="7"/>
      <c r="E103" s="5" t="str">
        <f t="shared" si="1"/>
        <v/>
      </c>
    </row>
    <row r="104" spans="2:5" x14ac:dyDescent="0.25">
      <c r="B104" s="6"/>
      <c r="D104" s="7"/>
      <c r="E104" s="5" t="str">
        <f t="shared" si="1"/>
        <v/>
      </c>
    </row>
    <row r="105" spans="2:5" x14ac:dyDescent="0.25">
      <c r="B105" s="6"/>
      <c r="D105" s="7"/>
      <c r="E105" s="5" t="str">
        <f t="shared" si="1"/>
        <v/>
      </c>
    </row>
    <row r="106" spans="2:5" x14ac:dyDescent="0.25">
      <c r="B106" s="6"/>
      <c r="D106" s="7"/>
      <c r="E106" s="5" t="str">
        <f t="shared" si="1"/>
        <v/>
      </c>
    </row>
    <row r="107" spans="2:5" x14ac:dyDescent="0.25">
      <c r="B107" s="6"/>
      <c r="D107" s="7"/>
      <c r="E107" s="5" t="str">
        <f t="shared" si="1"/>
        <v/>
      </c>
    </row>
    <row r="108" spans="2:5" x14ac:dyDescent="0.25">
      <c r="B108" s="6"/>
      <c r="D108" s="7"/>
      <c r="E108" s="5" t="str">
        <f t="shared" si="1"/>
        <v/>
      </c>
    </row>
    <row r="109" spans="2:5" x14ac:dyDescent="0.25">
      <c r="B109" s="6"/>
      <c r="D109" s="7"/>
      <c r="E109" s="5" t="str">
        <f t="shared" si="1"/>
        <v/>
      </c>
    </row>
    <row r="110" spans="2:5" x14ac:dyDescent="0.25">
      <c r="B110" s="6"/>
      <c r="D110" s="7"/>
      <c r="E110" s="5" t="str">
        <f t="shared" si="1"/>
        <v/>
      </c>
    </row>
    <row r="111" spans="2:5" x14ac:dyDescent="0.25">
      <c r="B111" s="6"/>
      <c r="D111" s="7"/>
      <c r="E111" s="5" t="str">
        <f t="shared" si="1"/>
        <v/>
      </c>
    </row>
    <row r="112" spans="2:5" x14ac:dyDescent="0.25">
      <c r="B112" s="6"/>
      <c r="D112" s="7"/>
      <c r="E112" s="5" t="str">
        <f t="shared" si="1"/>
        <v/>
      </c>
    </row>
    <row r="113" spans="2:5" x14ac:dyDescent="0.25">
      <c r="B113" s="6"/>
      <c r="D113" s="7"/>
      <c r="E113" s="5" t="str">
        <f t="shared" si="1"/>
        <v/>
      </c>
    </row>
    <row r="114" spans="2:5" x14ac:dyDescent="0.25">
      <c r="B114" s="6"/>
      <c r="D114" s="7"/>
      <c r="E114" s="5" t="str">
        <f t="shared" si="1"/>
        <v/>
      </c>
    </row>
    <row r="115" spans="2:5" x14ac:dyDescent="0.25">
      <c r="B115" s="6"/>
      <c r="D115" s="7"/>
      <c r="E115" s="5" t="str">
        <f t="shared" si="1"/>
        <v/>
      </c>
    </row>
    <row r="116" spans="2:5" x14ac:dyDescent="0.25">
      <c r="B116" s="6"/>
      <c r="D116" s="7"/>
      <c r="E116" s="5" t="str">
        <f t="shared" si="1"/>
        <v/>
      </c>
    </row>
    <row r="117" spans="2:5" x14ac:dyDescent="0.25">
      <c r="B117" s="6"/>
      <c r="D117" s="7"/>
      <c r="E117" s="5" t="str">
        <f t="shared" si="1"/>
        <v/>
      </c>
    </row>
    <row r="118" spans="2:5" x14ac:dyDescent="0.25">
      <c r="B118" s="6"/>
      <c r="D118" s="7"/>
      <c r="E118" s="5" t="str">
        <f t="shared" si="1"/>
        <v/>
      </c>
    </row>
    <row r="119" spans="2:5" x14ac:dyDescent="0.25">
      <c r="B119" s="6"/>
      <c r="D119" s="7"/>
      <c r="E119" s="5" t="str">
        <f t="shared" si="1"/>
        <v/>
      </c>
    </row>
    <row r="120" spans="2:5" x14ac:dyDescent="0.25">
      <c r="B120" s="6"/>
      <c r="D120" s="7"/>
      <c r="E120" s="5" t="str">
        <f t="shared" si="1"/>
        <v/>
      </c>
    </row>
    <row r="121" spans="2:5" x14ac:dyDescent="0.25">
      <c r="B121" s="6"/>
      <c r="D121" s="7"/>
      <c r="E121" s="5" t="str">
        <f t="shared" si="1"/>
        <v/>
      </c>
    </row>
    <row r="122" spans="2:5" x14ac:dyDescent="0.25">
      <c r="B122" s="6"/>
      <c r="D122" s="7"/>
      <c r="E122" s="5" t="str">
        <f t="shared" si="1"/>
        <v/>
      </c>
    </row>
    <row r="123" spans="2:5" x14ac:dyDescent="0.25">
      <c r="B123" s="6"/>
      <c r="D123" s="7"/>
      <c r="E123" s="5" t="str">
        <f t="shared" si="1"/>
        <v/>
      </c>
    </row>
    <row r="124" spans="2:5" x14ac:dyDescent="0.25">
      <c r="B124" s="6"/>
      <c r="D124" s="7"/>
      <c r="E124" s="5" t="str">
        <f t="shared" si="1"/>
        <v/>
      </c>
    </row>
    <row r="125" spans="2:5" x14ac:dyDescent="0.25">
      <c r="B125" s="6"/>
      <c r="D125" s="7"/>
      <c r="E125" s="5" t="str">
        <f t="shared" si="1"/>
        <v/>
      </c>
    </row>
    <row r="126" spans="2:5" x14ac:dyDescent="0.25">
      <c r="B126" s="6"/>
      <c r="D126" s="7"/>
      <c r="E126" s="5" t="str">
        <f t="shared" si="1"/>
        <v/>
      </c>
    </row>
    <row r="127" spans="2:5" x14ac:dyDescent="0.25">
      <c r="B127" s="6"/>
      <c r="D127" s="7"/>
      <c r="E127" s="5" t="str">
        <f t="shared" si="1"/>
        <v/>
      </c>
    </row>
    <row r="128" spans="2:5" x14ac:dyDescent="0.25">
      <c r="B128" s="6"/>
      <c r="D128" s="7"/>
      <c r="E128" s="5" t="str">
        <f t="shared" si="1"/>
        <v/>
      </c>
    </row>
    <row r="129" spans="2:5" x14ac:dyDescent="0.25">
      <c r="B129" s="6"/>
      <c r="D129" s="7"/>
      <c r="E129" s="5" t="str">
        <f t="shared" si="1"/>
        <v/>
      </c>
    </row>
    <row r="130" spans="2:5" x14ac:dyDescent="0.25">
      <c r="B130" s="6"/>
      <c r="D130" s="7"/>
      <c r="E130" s="5" t="str">
        <f t="shared" si="1"/>
        <v/>
      </c>
    </row>
    <row r="131" spans="2:5" x14ac:dyDescent="0.25">
      <c r="B131" s="6"/>
      <c r="D131" s="7"/>
      <c r="E131" s="5" t="str">
        <f t="shared" si="1"/>
        <v/>
      </c>
    </row>
    <row r="132" spans="2:5" x14ac:dyDescent="0.25">
      <c r="B132" s="6"/>
      <c r="D132" s="7"/>
      <c r="E132" s="5" t="str">
        <f t="shared" si="1"/>
        <v/>
      </c>
    </row>
    <row r="133" spans="2:5" x14ac:dyDescent="0.25">
      <c r="B133" s="6"/>
      <c r="D133" s="7"/>
      <c r="E133" s="5" t="str">
        <f t="shared" si="1"/>
        <v/>
      </c>
    </row>
    <row r="134" spans="2:5" x14ac:dyDescent="0.25">
      <c r="B134" s="6"/>
      <c r="D134" s="7"/>
      <c r="E134" s="5" t="str">
        <f t="shared" si="1"/>
        <v/>
      </c>
    </row>
    <row r="135" spans="2:5" x14ac:dyDescent="0.25">
      <c r="B135" s="6"/>
      <c r="D135" s="7"/>
      <c r="E135" s="5" t="str">
        <f t="shared" ref="E135:E198" si="2">IF(OR($B135="",$D135=""),"",$B135*$D135)</f>
        <v/>
      </c>
    </row>
    <row r="136" spans="2:5" x14ac:dyDescent="0.25">
      <c r="B136" s="6"/>
      <c r="D136" s="7"/>
      <c r="E136" s="5" t="str">
        <f t="shared" si="2"/>
        <v/>
      </c>
    </row>
    <row r="137" spans="2:5" x14ac:dyDescent="0.25">
      <c r="B137" s="6"/>
      <c r="D137" s="7"/>
      <c r="E137" s="5" t="str">
        <f t="shared" si="2"/>
        <v/>
      </c>
    </row>
    <row r="138" spans="2:5" x14ac:dyDescent="0.25">
      <c r="B138" s="6"/>
      <c r="D138" s="7"/>
      <c r="E138" s="5" t="str">
        <f t="shared" si="2"/>
        <v/>
      </c>
    </row>
    <row r="139" spans="2:5" x14ac:dyDescent="0.25">
      <c r="B139" s="6"/>
      <c r="D139" s="7"/>
      <c r="E139" s="5" t="str">
        <f t="shared" si="2"/>
        <v/>
      </c>
    </row>
    <row r="140" spans="2:5" x14ac:dyDescent="0.25">
      <c r="B140" s="6"/>
      <c r="D140" s="7"/>
      <c r="E140" s="5" t="str">
        <f t="shared" si="2"/>
        <v/>
      </c>
    </row>
    <row r="141" spans="2:5" x14ac:dyDescent="0.25">
      <c r="B141" s="6"/>
      <c r="D141" s="7"/>
      <c r="E141" s="5" t="str">
        <f t="shared" si="2"/>
        <v/>
      </c>
    </row>
    <row r="142" spans="2:5" x14ac:dyDescent="0.25">
      <c r="B142" s="6"/>
      <c r="D142" s="7"/>
      <c r="E142" s="5" t="str">
        <f t="shared" si="2"/>
        <v/>
      </c>
    </row>
    <row r="143" spans="2:5" x14ac:dyDescent="0.25">
      <c r="B143" s="6"/>
      <c r="D143" s="7"/>
      <c r="E143" s="5" t="str">
        <f t="shared" si="2"/>
        <v/>
      </c>
    </row>
    <row r="144" spans="2:5" x14ac:dyDescent="0.25">
      <c r="B144" s="6"/>
      <c r="D144" s="7"/>
      <c r="E144" s="5" t="str">
        <f t="shared" si="2"/>
        <v/>
      </c>
    </row>
    <row r="145" spans="2:5" x14ac:dyDescent="0.25">
      <c r="B145" s="6"/>
      <c r="D145" s="7"/>
      <c r="E145" s="5" t="str">
        <f t="shared" si="2"/>
        <v/>
      </c>
    </row>
    <row r="146" spans="2:5" x14ac:dyDescent="0.25">
      <c r="B146" s="6"/>
      <c r="D146" s="7"/>
      <c r="E146" s="5" t="str">
        <f t="shared" si="2"/>
        <v/>
      </c>
    </row>
    <row r="147" spans="2:5" x14ac:dyDescent="0.25">
      <c r="B147" s="6"/>
      <c r="D147" s="7"/>
      <c r="E147" s="5" t="str">
        <f t="shared" si="2"/>
        <v/>
      </c>
    </row>
    <row r="148" spans="2:5" x14ac:dyDescent="0.25">
      <c r="B148" s="6"/>
      <c r="D148" s="7"/>
      <c r="E148" s="5" t="str">
        <f t="shared" si="2"/>
        <v/>
      </c>
    </row>
    <row r="149" spans="2:5" x14ac:dyDescent="0.25">
      <c r="B149" s="6"/>
      <c r="D149" s="7"/>
      <c r="E149" s="5" t="str">
        <f t="shared" si="2"/>
        <v/>
      </c>
    </row>
    <row r="150" spans="2:5" x14ac:dyDescent="0.25">
      <c r="B150" s="6"/>
      <c r="D150" s="7"/>
      <c r="E150" s="5" t="str">
        <f t="shared" si="2"/>
        <v/>
      </c>
    </row>
    <row r="151" spans="2:5" x14ac:dyDescent="0.25">
      <c r="B151" s="6"/>
      <c r="D151" s="7"/>
      <c r="E151" s="5" t="str">
        <f t="shared" si="2"/>
        <v/>
      </c>
    </row>
    <row r="152" spans="2:5" x14ac:dyDescent="0.25">
      <c r="B152" s="6"/>
      <c r="D152" s="7"/>
      <c r="E152" s="5" t="str">
        <f t="shared" si="2"/>
        <v/>
      </c>
    </row>
    <row r="153" spans="2:5" x14ac:dyDescent="0.25">
      <c r="B153" s="6"/>
      <c r="D153" s="7"/>
      <c r="E153" s="5" t="str">
        <f t="shared" si="2"/>
        <v/>
      </c>
    </row>
    <row r="154" spans="2:5" x14ac:dyDescent="0.25">
      <c r="B154" s="6"/>
      <c r="D154" s="7"/>
      <c r="E154" s="5" t="str">
        <f t="shared" si="2"/>
        <v/>
      </c>
    </row>
    <row r="155" spans="2:5" x14ac:dyDescent="0.25">
      <c r="B155" s="6"/>
      <c r="D155" s="7"/>
      <c r="E155" s="5" t="str">
        <f t="shared" si="2"/>
        <v/>
      </c>
    </row>
    <row r="156" spans="2:5" x14ac:dyDescent="0.25">
      <c r="B156" s="6"/>
      <c r="D156" s="7"/>
      <c r="E156" s="5" t="str">
        <f t="shared" si="2"/>
        <v/>
      </c>
    </row>
    <row r="157" spans="2:5" x14ac:dyDescent="0.25">
      <c r="B157" s="6"/>
      <c r="D157" s="7"/>
      <c r="E157" s="5" t="str">
        <f t="shared" si="2"/>
        <v/>
      </c>
    </row>
    <row r="158" spans="2:5" x14ac:dyDescent="0.25">
      <c r="B158" s="6"/>
      <c r="D158" s="7"/>
      <c r="E158" s="5" t="str">
        <f t="shared" si="2"/>
        <v/>
      </c>
    </row>
    <row r="159" spans="2:5" x14ac:dyDescent="0.25">
      <c r="B159" s="6"/>
      <c r="D159" s="7"/>
      <c r="E159" s="5" t="str">
        <f t="shared" si="2"/>
        <v/>
      </c>
    </row>
    <row r="160" spans="2:5" x14ac:dyDescent="0.25">
      <c r="B160" s="6"/>
      <c r="D160" s="7"/>
      <c r="E160" s="5" t="str">
        <f t="shared" si="2"/>
        <v/>
      </c>
    </row>
    <row r="161" spans="2:5" x14ac:dyDescent="0.25">
      <c r="B161" s="6"/>
      <c r="D161" s="7"/>
      <c r="E161" s="5" t="str">
        <f t="shared" si="2"/>
        <v/>
      </c>
    </row>
    <row r="162" spans="2:5" x14ac:dyDescent="0.25">
      <c r="B162" s="6"/>
      <c r="D162" s="7"/>
      <c r="E162" s="5" t="str">
        <f t="shared" si="2"/>
        <v/>
      </c>
    </row>
    <row r="163" spans="2:5" x14ac:dyDescent="0.25">
      <c r="B163" s="6"/>
      <c r="D163" s="7"/>
      <c r="E163" s="5" t="str">
        <f t="shared" si="2"/>
        <v/>
      </c>
    </row>
    <row r="164" spans="2:5" x14ac:dyDescent="0.25">
      <c r="B164" s="6"/>
      <c r="D164" s="7"/>
      <c r="E164" s="5" t="str">
        <f t="shared" si="2"/>
        <v/>
      </c>
    </row>
    <row r="165" spans="2:5" x14ac:dyDescent="0.25">
      <c r="B165" s="6"/>
      <c r="D165" s="7"/>
      <c r="E165" s="5" t="str">
        <f t="shared" si="2"/>
        <v/>
      </c>
    </row>
    <row r="166" spans="2:5" x14ac:dyDescent="0.25">
      <c r="B166" s="6"/>
      <c r="D166" s="7"/>
      <c r="E166" s="5" t="str">
        <f t="shared" si="2"/>
        <v/>
      </c>
    </row>
    <row r="167" spans="2:5" x14ac:dyDescent="0.25">
      <c r="B167" s="6"/>
      <c r="D167" s="7"/>
      <c r="E167" s="5" t="str">
        <f t="shared" si="2"/>
        <v/>
      </c>
    </row>
    <row r="168" spans="2:5" x14ac:dyDescent="0.25">
      <c r="B168" s="6"/>
      <c r="D168" s="7"/>
      <c r="E168" s="5" t="str">
        <f t="shared" si="2"/>
        <v/>
      </c>
    </row>
    <row r="169" spans="2:5" x14ac:dyDescent="0.25">
      <c r="B169" s="6"/>
      <c r="D169" s="7"/>
      <c r="E169" s="5" t="str">
        <f t="shared" si="2"/>
        <v/>
      </c>
    </row>
    <row r="170" spans="2:5" x14ac:dyDescent="0.25">
      <c r="B170" s="6"/>
      <c r="D170" s="7"/>
      <c r="E170" s="5" t="str">
        <f t="shared" si="2"/>
        <v/>
      </c>
    </row>
    <row r="171" spans="2:5" x14ac:dyDescent="0.25">
      <c r="B171" s="6"/>
      <c r="D171" s="7"/>
      <c r="E171" s="5" t="str">
        <f t="shared" si="2"/>
        <v/>
      </c>
    </row>
    <row r="172" spans="2:5" x14ac:dyDescent="0.25">
      <c r="B172" s="6"/>
      <c r="D172" s="7"/>
      <c r="E172" s="5" t="str">
        <f t="shared" si="2"/>
        <v/>
      </c>
    </row>
    <row r="173" spans="2:5" x14ac:dyDescent="0.25">
      <c r="B173" s="6"/>
      <c r="D173" s="7"/>
      <c r="E173" s="5" t="str">
        <f t="shared" si="2"/>
        <v/>
      </c>
    </row>
    <row r="174" spans="2:5" x14ac:dyDescent="0.25">
      <c r="B174" s="6"/>
      <c r="D174" s="7"/>
      <c r="E174" s="5" t="str">
        <f t="shared" si="2"/>
        <v/>
      </c>
    </row>
    <row r="175" spans="2:5" x14ac:dyDescent="0.25">
      <c r="B175" s="6"/>
      <c r="D175" s="7"/>
      <c r="E175" s="5" t="str">
        <f t="shared" si="2"/>
        <v/>
      </c>
    </row>
    <row r="176" spans="2:5" x14ac:dyDescent="0.25">
      <c r="B176" s="6"/>
      <c r="D176" s="7"/>
      <c r="E176" s="5" t="str">
        <f t="shared" si="2"/>
        <v/>
      </c>
    </row>
    <row r="177" spans="2:5" x14ac:dyDescent="0.25">
      <c r="B177" s="6"/>
      <c r="D177" s="7"/>
      <c r="E177" s="5" t="str">
        <f t="shared" si="2"/>
        <v/>
      </c>
    </row>
    <row r="178" spans="2:5" x14ac:dyDescent="0.25">
      <c r="B178" s="6"/>
      <c r="D178" s="7"/>
      <c r="E178" s="5" t="str">
        <f t="shared" si="2"/>
        <v/>
      </c>
    </row>
    <row r="179" spans="2:5" x14ac:dyDescent="0.25">
      <c r="B179" s="6"/>
      <c r="D179" s="7"/>
      <c r="E179" s="5" t="str">
        <f t="shared" si="2"/>
        <v/>
      </c>
    </row>
    <row r="180" spans="2:5" x14ac:dyDescent="0.25">
      <c r="B180" s="6"/>
      <c r="D180" s="7"/>
      <c r="E180" s="5" t="str">
        <f t="shared" si="2"/>
        <v/>
      </c>
    </row>
    <row r="181" spans="2:5" x14ac:dyDescent="0.25">
      <c r="B181" s="6"/>
      <c r="D181" s="7"/>
      <c r="E181" s="5" t="str">
        <f t="shared" si="2"/>
        <v/>
      </c>
    </row>
    <row r="182" spans="2:5" x14ac:dyDescent="0.25">
      <c r="B182" s="6"/>
      <c r="D182" s="7"/>
      <c r="E182" s="5" t="str">
        <f t="shared" si="2"/>
        <v/>
      </c>
    </row>
    <row r="183" spans="2:5" x14ac:dyDescent="0.25">
      <c r="B183" s="6"/>
      <c r="D183" s="7"/>
      <c r="E183" s="5" t="str">
        <f t="shared" si="2"/>
        <v/>
      </c>
    </row>
    <row r="184" spans="2:5" x14ac:dyDescent="0.25">
      <c r="B184" s="6"/>
      <c r="D184" s="7"/>
      <c r="E184" s="5" t="str">
        <f t="shared" si="2"/>
        <v/>
      </c>
    </row>
    <row r="185" spans="2:5" x14ac:dyDescent="0.25">
      <c r="B185" s="6"/>
      <c r="D185" s="7"/>
      <c r="E185" s="5" t="str">
        <f t="shared" si="2"/>
        <v/>
      </c>
    </row>
    <row r="186" spans="2:5" x14ac:dyDescent="0.25">
      <c r="B186" s="6"/>
      <c r="D186" s="7"/>
      <c r="E186" s="5" t="str">
        <f t="shared" si="2"/>
        <v/>
      </c>
    </row>
    <row r="187" spans="2:5" x14ac:dyDescent="0.25">
      <c r="B187" s="6"/>
      <c r="D187" s="7"/>
      <c r="E187" s="5" t="str">
        <f t="shared" si="2"/>
        <v/>
      </c>
    </row>
    <row r="188" spans="2:5" x14ac:dyDescent="0.25">
      <c r="B188" s="6"/>
      <c r="D188" s="7"/>
      <c r="E188" s="5" t="str">
        <f t="shared" si="2"/>
        <v/>
      </c>
    </row>
    <row r="189" spans="2:5" x14ac:dyDescent="0.25">
      <c r="B189" s="6"/>
      <c r="D189" s="7"/>
      <c r="E189" s="5" t="str">
        <f t="shared" si="2"/>
        <v/>
      </c>
    </row>
    <row r="190" spans="2:5" x14ac:dyDescent="0.25">
      <c r="B190" s="6"/>
      <c r="D190" s="7"/>
      <c r="E190" s="5" t="str">
        <f t="shared" si="2"/>
        <v/>
      </c>
    </row>
    <row r="191" spans="2:5" x14ac:dyDescent="0.25">
      <c r="B191" s="6"/>
      <c r="D191" s="7"/>
      <c r="E191" s="5" t="str">
        <f t="shared" si="2"/>
        <v/>
      </c>
    </row>
    <row r="192" spans="2:5" x14ac:dyDescent="0.25">
      <c r="B192" s="6"/>
      <c r="D192" s="7"/>
      <c r="E192" s="5" t="str">
        <f t="shared" si="2"/>
        <v/>
      </c>
    </row>
    <row r="193" spans="2:5" x14ac:dyDescent="0.25">
      <c r="B193" s="6"/>
      <c r="D193" s="7"/>
      <c r="E193" s="5" t="str">
        <f t="shared" si="2"/>
        <v/>
      </c>
    </row>
    <row r="194" spans="2:5" x14ac:dyDescent="0.25">
      <c r="B194" s="6"/>
      <c r="D194" s="7"/>
      <c r="E194" s="5" t="str">
        <f t="shared" si="2"/>
        <v/>
      </c>
    </row>
    <row r="195" spans="2:5" x14ac:dyDescent="0.25">
      <c r="B195" s="6"/>
      <c r="D195" s="7"/>
      <c r="E195" s="5" t="str">
        <f t="shared" si="2"/>
        <v/>
      </c>
    </row>
    <row r="196" spans="2:5" x14ac:dyDescent="0.25">
      <c r="B196" s="6"/>
      <c r="D196" s="7"/>
      <c r="E196" s="5" t="str">
        <f t="shared" si="2"/>
        <v/>
      </c>
    </row>
    <row r="197" spans="2:5" x14ac:dyDescent="0.25">
      <c r="B197" s="6"/>
      <c r="D197" s="7"/>
      <c r="E197" s="5" t="str">
        <f t="shared" si="2"/>
        <v/>
      </c>
    </row>
    <row r="198" spans="2:5" x14ac:dyDescent="0.25">
      <c r="B198" s="6"/>
      <c r="D198" s="7"/>
      <c r="E198" s="5" t="str">
        <f t="shared" si="2"/>
        <v/>
      </c>
    </row>
    <row r="199" spans="2:5" x14ac:dyDescent="0.25">
      <c r="B199" s="6"/>
      <c r="D199" s="7"/>
      <c r="E199" s="5" t="str">
        <f t="shared" ref="E199:E205" si="3">IF(OR($B199="",$D199=""),"",$B199*$D199)</f>
        <v/>
      </c>
    </row>
    <row r="200" spans="2:5" x14ac:dyDescent="0.25">
      <c r="B200" s="6"/>
      <c r="D200" s="7"/>
      <c r="E200" s="5" t="str">
        <f t="shared" si="3"/>
        <v/>
      </c>
    </row>
    <row r="201" spans="2:5" x14ac:dyDescent="0.25">
      <c r="B201" s="6"/>
      <c r="D201" s="7"/>
      <c r="E201" s="5" t="str">
        <f t="shared" si="3"/>
        <v/>
      </c>
    </row>
    <row r="202" spans="2:5" x14ac:dyDescent="0.25">
      <c r="B202" s="6"/>
      <c r="D202" s="7"/>
      <c r="E202" s="5" t="str">
        <f t="shared" si="3"/>
        <v/>
      </c>
    </row>
    <row r="203" spans="2:5" x14ac:dyDescent="0.25">
      <c r="B203" s="6"/>
      <c r="D203" s="7"/>
      <c r="E203" s="5" t="str">
        <f t="shared" si="3"/>
        <v/>
      </c>
    </row>
    <row r="204" spans="2:5" x14ac:dyDescent="0.25">
      <c r="B204" s="6"/>
      <c r="D204" s="7"/>
      <c r="E204" s="5" t="str">
        <f t="shared" si="3"/>
        <v/>
      </c>
    </row>
    <row r="205" spans="2:5" x14ac:dyDescent="0.25">
      <c r="B205" s="6"/>
      <c r="D205" s="7"/>
      <c r="E205" s="5" t="str">
        <f t="shared" si="3"/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4E8ED-57C6-4170-B715-B3410D8B1284}">
  <dimension ref="A1:E208"/>
  <sheetViews>
    <sheetView workbookViewId="0">
      <pane ySplit="8" topLeftCell="A9" activePane="bottomLeft" state="frozen"/>
      <selection pane="bottomLeft" activeCell="H22" sqref="H22"/>
    </sheetView>
  </sheetViews>
  <sheetFormatPr baseColWidth="10" defaultRowHeight="15" x14ac:dyDescent="0.25"/>
  <cols>
    <col min="1" max="1" width="38.140625" customWidth="1"/>
    <col min="2" max="5" width="21" customWidth="1"/>
  </cols>
  <sheetData>
    <row r="1" spans="1:5" ht="21" x14ac:dyDescent="0.35">
      <c r="A1" s="1" t="s">
        <v>46</v>
      </c>
    </row>
    <row r="3" spans="1:5" x14ac:dyDescent="0.25">
      <c r="A3" t="s">
        <v>57</v>
      </c>
      <c r="B3" s="24">
        <f>SUM(E9:E208)</f>
        <v>349</v>
      </c>
    </row>
    <row r="4" spans="1:5" x14ac:dyDescent="0.25">
      <c r="A4" s="2" t="s">
        <v>58</v>
      </c>
      <c r="B4" s="25">
        <v>18</v>
      </c>
    </row>
    <row r="5" spans="1:5" x14ac:dyDescent="0.25">
      <c r="A5" s="2" t="s">
        <v>47</v>
      </c>
      <c r="B5" s="3">
        <f>B3*B4</f>
        <v>6282</v>
      </c>
    </row>
    <row r="7" spans="1:5" x14ac:dyDescent="0.25">
      <c r="A7" s="4" t="s">
        <v>12</v>
      </c>
    </row>
    <row r="8" spans="1:5" x14ac:dyDescent="0.25">
      <c r="A8" s="11" t="s">
        <v>13</v>
      </c>
      <c r="B8" s="11" t="s">
        <v>14</v>
      </c>
      <c r="C8" s="11" t="s">
        <v>15</v>
      </c>
      <c r="D8" s="11" t="s">
        <v>16</v>
      </c>
      <c r="E8" s="11" t="s">
        <v>17</v>
      </c>
    </row>
    <row r="9" spans="1:5" x14ac:dyDescent="0.25">
      <c r="A9" t="s">
        <v>50</v>
      </c>
      <c r="B9" s="6">
        <v>1</v>
      </c>
      <c r="D9" s="7">
        <v>120</v>
      </c>
      <c r="E9" s="5">
        <f>IF(OR($B9="",$D9=""),"",$B9*$D9)</f>
        <v>120</v>
      </c>
    </row>
    <row r="10" spans="1:5" x14ac:dyDescent="0.25">
      <c r="A10" t="s">
        <v>51</v>
      </c>
      <c r="B10" s="6">
        <v>1</v>
      </c>
      <c r="D10" s="7">
        <v>15</v>
      </c>
      <c r="E10" s="5">
        <f t="shared" ref="E10:E73" si="0">IF(OR($B10="",$D10=""),"",$B10*$D10)</f>
        <v>15</v>
      </c>
    </row>
    <row r="11" spans="1:5" x14ac:dyDescent="0.25">
      <c r="A11" t="s">
        <v>52</v>
      </c>
      <c r="B11" s="6">
        <v>1</v>
      </c>
      <c r="D11" s="7">
        <v>20</v>
      </c>
      <c r="E11" s="5">
        <f t="shared" si="0"/>
        <v>20</v>
      </c>
    </row>
    <row r="12" spans="1:5" x14ac:dyDescent="0.25">
      <c r="A12" t="s">
        <v>54</v>
      </c>
      <c r="B12" s="6">
        <v>1</v>
      </c>
      <c r="D12" s="7">
        <v>30</v>
      </c>
      <c r="E12" s="5">
        <f t="shared" si="0"/>
        <v>30</v>
      </c>
    </row>
    <row r="13" spans="1:5" x14ac:dyDescent="0.25">
      <c r="A13" t="s">
        <v>53</v>
      </c>
      <c r="B13" s="6">
        <v>1</v>
      </c>
      <c r="D13" s="7">
        <v>30</v>
      </c>
      <c r="E13" s="5">
        <f t="shared" si="0"/>
        <v>30</v>
      </c>
    </row>
    <row r="14" spans="1:5" x14ac:dyDescent="0.25">
      <c r="A14" t="s">
        <v>55</v>
      </c>
      <c r="B14" s="6">
        <v>1</v>
      </c>
      <c r="D14" s="7">
        <v>45</v>
      </c>
      <c r="E14" s="5">
        <f t="shared" si="0"/>
        <v>45</v>
      </c>
    </row>
    <row r="15" spans="1:5" x14ac:dyDescent="0.25">
      <c r="A15" t="s">
        <v>56</v>
      </c>
      <c r="B15" s="6">
        <v>1</v>
      </c>
      <c r="D15" s="7">
        <v>55</v>
      </c>
      <c r="E15" s="5">
        <f t="shared" si="0"/>
        <v>55</v>
      </c>
    </row>
    <row r="16" spans="1:5" x14ac:dyDescent="0.25">
      <c r="A16" t="s">
        <v>59</v>
      </c>
      <c r="B16" s="6">
        <v>1</v>
      </c>
      <c r="D16" s="7">
        <v>30</v>
      </c>
      <c r="E16" s="5">
        <f t="shared" si="0"/>
        <v>30</v>
      </c>
    </row>
    <row r="17" spans="1:5" x14ac:dyDescent="0.25">
      <c r="A17" t="s">
        <v>60</v>
      </c>
      <c r="B17" s="6">
        <v>1</v>
      </c>
      <c r="D17" s="7">
        <v>4</v>
      </c>
      <c r="E17" s="5">
        <f t="shared" si="0"/>
        <v>4</v>
      </c>
    </row>
    <row r="18" spans="1:5" x14ac:dyDescent="0.25">
      <c r="B18" s="6"/>
      <c r="D18" s="7"/>
      <c r="E18" s="5" t="str">
        <f t="shared" si="0"/>
        <v/>
      </c>
    </row>
    <row r="19" spans="1:5" x14ac:dyDescent="0.25">
      <c r="B19" s="6"/>
      <c r="D19" s="7"/>
      <c r="E19" s="5" t="str">
        <f t="shared" si="0"/>
        <v/>
      </c>
    </row>
    <row r="20" spans="1:5" x14ac:dyDescent="0.25">
      <c r="B20" s="6"/>
      <c r="D20" s="7"/>
      <c r="E20" s="5" t="str">
        <f t="shared" si="0"/>
        <v/>
      </c>
    </row>
    <row r="21" spans="1:5" x14ac:dyDescent="0.25">
      <c r="B21" s="6"/>
      <c r="D21" s="7"/>
      <c r="E21" s="5" t="str">
        <f t="shared" si="0"/>
        <v/>
      </c>
    </row>
    <row r="22" spans="1:5" x14ac:dyDescent="0.25">
      <c r="B22" s="6"/>
      <c r="D22" s="7"/>
      <c r="E22" s="5" t="str">
        <f t="shared" si="0"/>
        <v/>
      </c>
    </row>
    <row r="23" spans="1:5" x14ac:dyDescent="0.25">
      <c r="B23" s="6"/>
      <c r="D23" s="7"/>
      <c r="E23" s="5" t="str">
        <f t="shared" si="0"/>
        <v/>
      </c>
    </row>
    <row r="24" spans="1:5" x14ac:dyDescent="0.25">
      <c r="B24" s="6"/>
      <c r="D24" s="7"/>
      <c r="E24" s="5" t="str">
        <f t="shared" si="0"/>
        <v/>
      </c>
    </row>
    <row r="25" spans="1:5" x14ac:dyDescent="0.25">
      <c r="B25" s="6"/>
      <c r="D25" s="7"/>
      <c r="E25" s="5" t="str">
        <f t="shared" si="0"/>
        <v/>
      </c>
    </row>
    <row r="26" spans="1:5" x14ac:dyDescent="0.25">
      <c r="B26" s="6"/>
      <c r="D26" s="7"/>
      <c r="E26" s="5" t="str">
        <f t="shared" si="0"/>
        <v/>
      </c>
    </row>
    <row r="27" spans="1:5" x14ac:dyDescent="0.25">
      <c r="B27" s="6"/>
      <c r="D27" s="7"/>
      <c r="E27" s="5" t="str">
        <f t="shared" si="0"/>
        <v/>
      </c>
    </row>
    <row r="28" spans="1:5" x14ac:dyDescent="0.25">
      <c r="B28" s="6"/>
      <c r="D28" s="7"/>
      <c r="E28" s="5" t="str">
        <f t="shared" si="0"/>
        <v/>
      </c>
    </row>
    <row r="29" spans="1:5" x14ac:dyDescent="0.25">
      <c r="B29" s="6"/>
      <c r="D29" s="7"/>
      <c r="E29" s="5" t="str">
        <f t="shared" si="0"/>
        <v/>
      </c>
    </row>
    <row r="30" spans="1:5" x14ac:dyDescent="0.25">
      <c r="B30" s="6"/>
      <c r="D30" s="7"/>
      <c r="E30" s="5" t="str">
        <f t="shared" si="0"/>
        <v/>
      </c>
    </row>
    <row r="31" spans="1:5" x14ac:dyDescent="0.25">
      <c r="B31" s="6"/>
      <c r="D31" s="7"/>
      <c r="E31" s="5" t="str">
        <f t="shared" si="0"/>
        <v/>
      </c>
    </row>
    <row r="32" spans="1:5" x14ac:dyDescent="0.25">
      <c r="B32" s="6"/>
      <c r="D32" s="7"/>
      <c r="E32" s="5" t="str">
        <f t="shared" si="0"/>
        <v/>
      </c>
    </row>
    <row r="33" spans="2:5" x14ac:dyDescent="0.25">
      <c r="B33" s="6"/>
      <c r="D33" s="7"/>
      <c r="E33" s="5" t="str">
        <f t="shared" si="0"/>
        <v/>
      </c>
    </row>
    <row r="34" spans="2:5" x14ac:dyDescent="0.25">
      <c r="B34" s="6"/>
      <c r="D34" s="7"/>
      <c r="E34" s="5" t="str">
        <f t="shared" si="0"/>
        <v/>
      </c>
    </row>
    <row r="35" spans="2:5" x14ac:dyDescent="0.25">
      <c r="B35" s="6"/>
      <c r="D35" s="7"/>
      <c r="E35" s="5" t="str">
        <f t="shared" si="0"/>
        <v/>
      </c>
    </row>
    <row r="36" spans="2:5" x14ac:dyDescent="0.25">
      <c r="B36" s="6"/>
      <c r="D36" s="7"/>
      <c r="E36" s="5" t="str">
        <f t="shared" si="0"/>
        <v/>
      </c>
    </row>
    <row r="37" spans="2:5" x14ac:dyDescent="0.25">
      <c r="B37" s="6"/>
      <c r="D37" s="7"/>
      <c r="E37" s="5" t="str">
        <f t="shared" si="0"/>
        <v/>
      </c>
    </row>
    <row r="38" spans="2:5" x14ac:dyDescent="0.25">
      <c r="B38" s="6"/>
      <c r="D38" s="7"/>
      <c r="E38" s="5" t="str">
        <f t="shared" si="0"/>
        <v/>
      </c>
    </row>
    <row r="39" spans="2:5" x14ac:dyDescent="0.25">
      <c r="B39" s="6"/>
      <c r="D39" s="7"/>
      <c r="E39" s="5" t="str">
        <f t="shared" si="0"/>
        <v/>
      </c>
    </row>
    <row r="40" spans="2:5" x14ac:dyDescent="0.25">
      <c r="B40" s="6"/>
      <c r="D40" s="7"/>
      <c r="E40" s="5" t="str">
        <f t="shared" si="0"/>
        <v/>
      </c>
    </row>
    <row r="41" spans="2:5" x14ac:dyDescent="0.25">
      <c r="B41" s="6"/>
      <c r="D41" s="7"/>
      <c r="E41" s="5" t="str">
        <f t="shared" si="0"/>
        <v/>
      </c>
    </row>
    <row r="42" spans="2:5" x14ac:dyDescent="0.25">
      <c r="B42" s="6"/>
      <c r="D42" s="7"/>
      <c r="E42" s="5" t="str">
        <f t="shared" si="0"/>
        <v/>
      </c>
    </row>
    <row r="43" spans="2:5" x14ac:dyDescent="0.25">
      <c r="B43" s="6"/>
      <c r="D43" s="7"/>
      <c r="E43" s="5" t="str">
        <f t="shared" si="0"/>
        <v/>
      </c>
    </row>
    <row r="44" spans="2:5" x14ac:dyDescent="0.25">
      <c r="B44" s="6"/>
      <c r="D44" s="7"/>
      <c r="E44" s="5" t="str">
        <f t="shared" si="0"/>
        <v/>
      </c>
    </row>
    <row r="45" spans="2:5" x14ac:dyDescent="0.25">
      <c r="B45" s="6"/>
      <c r="D45" s="7"/>
      <c r="E45" s="5" t="str">
        <f t="shared" si="0"/>
        <v/>
      </c>
    </row>
    <row r="46" spans="2:5" x14ac:dyDescent="0.25">
      <c r="B46" s="6"/>
      <c r="D46" s="7"/>
      <c r="E46" s="5" t="str">
        <f t="shared" si="0"/>
        <v/>
      </c>
    </row>
    <row r="47" spans="2:5" x14ac:dyDescent="0.25">
      <c r="B47" s="6"/>
      <c r="D47" s="7"/>
      <c r="E47" s="5" t="str">
        <f t="shared" si="0"/>
        <v/>
      </c>
    </row>
    <row r="48" spans="2:5" x14ac:dyDescent="0.25">
      <c r="B48" s="6"/>
      <c r="D48" s="7"/>
      <c r="E48" s="5" t="str">
        <f t="shared" si="0"/>
        <v/>
      </c>
    </row>
    <row r="49" spans="2:5" x14ac:dyDescent="0.25">
      <c r="B49" s="6"/>
      <c r="D49" s="7"/>
      <c r="E49" s="5" t="str">
        <f t="shared" si="0"/>
        <v/>
      </c>
    </row>
    <row r="50" spans="2:5" x14ac:dyDescent="0.25">
      <c r="B50" s="6"/>
      <c r="D50" s="7"/>
      <c r="E50" s="5" t="str">
        <f t="shared" si="0"/>
        <v/>
      </c>
    </row>
    <row r="51" spans="2:5" x14ac:dyDescent="0.25">
      <c r="B51" s="6"/>
      <c r="D51" s="7"/>
      <c r="E51" s="5" t="str">
        <f t="shared" si="0"/>
        <v/>
      </c>
    </row>
    <row r="52" spans="2:5" x14ac:dyDescent="0.25">
      <c r="B52" s="6"/>
      <c r="D52" s="7"/>
      <c r="E52" s="5" t="str">
        <f t="shared" si="0"/>
        <v/>
      </c>
    </row>
    <row r="53" spans="2:5" x14ac:dyDescent="0.25">
      <c r="B53" s="6"/>
      <c r="D53" s="7"/>
      <c r="E53" s="5" t="str">
        <f t="shared" si="0"/>
        <v/>
      </c>
    </row>
    <row r="54" spans="2:5" x14ac:dyDescent="0.25">
      <c r="B54" s="6"/>
      <c r="D54" s="7"/>
      <c r="E54" s="5" t="str">
        <f t="shared" si="0"/>
        <v/>
      </c>
    </row>
    <row r="55" spans="2:5" x14ac:dyDescent="0.25">
      <c r="B55" s="6"/>
      <c r="D55" s="7"/>
      <c r="E55" s="5" t="str">
        <f t="shared" si="0"/>
        <v/>
      </c>
    </row>
    <row r="56" spans="2:5" x14ac:dyDescent="0.25">
      <c r="B56" s="6"/>
      <c r="D56" s="7"/>
      <c r="E56" s="5" t="str">
        <f t="shared" si="0"/>
        <v/>
      </c>
    </row>
    <row r="57" spans="2:5" x14ac:dyDescent="0.25">
      <c r="B57" s="6"/>
      <c r="D57" s="7"/>
      <c r="E57" s="5" t="str">
        <f t="shared" si="0"/>
        <v/>
      </c>
    </row>
    <row r="58" spans="2:5" x14ac:dyDescent="0.25">
      <c r="B58" s="6"/>
      <c r="D58" s="7"/>
      <c r="E58" s="5" t="str">
        <f t="shared" si="0"/>
        <v/>
      </c>
    </row>
    <row r="59" spans="2:5" x14ac:dyDescent="0.25">
      <c r="B59" s="6"/>
      <c r="D59" s="7"/>
      <c r="E59" s="5" t="str">
        <f t="shared" si="0"/>
        <v/>
      </c>
    </row>
    <row r="60" spans="2:5" x14ac:dyDescent="0.25">
      <c r="B60" s="6"/>
      <c r="D60" s="7"/>
      <c r="E60" s="5" t="str">
        <f t="shared" si="0"/>
        <v/>
      </c>
    </row>
    <row r="61" spans="2:5" x14ac:dyDescent="0.25">
      <c r="B61" s="6"/>
      <c r="D61" s="7"/>
      <c r="E61" s="5" t="str">
        <f t="shared" si="0"/>
        <v/>
      </c>
    </row>
    <row r="62" spans="2:5" x14ac:dyDescent="0.25">
      <c r="B62" s="6"/>
      <c r="D62" s="7"/>
      <c r="E62" s="5" t="str">
        <f t="shared" si="0"/>
        <v/>
      </c>
    </row>
    <row r="63" spans="2:5" x14ac:dyDescent="0.25">
      <c r="B63" s="6"/>
      <c r="D63" s="7"/>
      <c r="E63" s="5" t="str">
        <f t="shared" si="0"/>
        <v/>
      </c>
    </row>
    <row r="64" spans="2:5" x14ac:dyDescent="0.25">
      <c r="B64" s="6"/>
      <c r="D64" s="7"/>
      <c r="E64" s="5" t="str">
        <f t="shared" si="0"/>
        <v/>
      </c>
    </row>
    <row r="65" spans="2:5" x14ac:dyDescent="0.25">
      <c r="B65" s="6"/>
      <c r="D65" s="7"/>
      <c r="E65" s="5" t="str">
        <f t="shared" si="0"/>
        <v/>
      </c>
    </row>
    <row r="66" spans="2:5" x14ac:dyDescent="0.25">
      <c r="B66" s="6"/>
      <c r="D66" s="7"/>
      <c r="E66" s="5" t="str">
        <f t="shared" si="0"/>
        <v/>
      </c>
    </row>
    <row r="67" spans="2:5" x14ac:dyDescent="0.25">
      <c r="B67" s="6"/>
      <c r="D67" s="7"/>
      <c r="E67" s="5" t="str">
        <f t="shared" si="0"/>
        <v/>
      </c>
    </row>
    <row r="68" spans="2:5" x14ac:dyDescent="0.25">
      <c r="B68" s="6"/>
      <c r="D68" s="7"/>
      <c r="E68" s="5" t="str">
        <f t="shared" si="0"/>
        <v/>
      </c>
    </row>
    <row r="69" spans="2:5" x14ac:dyDescent="0.25">
      <c r="B69" s="6"/>
      <c r="D69" s="7"/>
      <c r="E69" s="5" t="str">
        <f t="shared" si="0"/>
        <v/>
      </c>
    </row>
    <row r="70" spans="2:5" x14ac:dyDescent="0.25">
      <c r="B70" s="6"/>
      <c r="D70" s="7"/>
      <c r="E70" s="5" t="str">
        <f t="shared" si="0"/>
        <v/>
      </c>
    </row>
    <row r="71" spans="2:5" x14ac:dyDescent="0.25">
      <c r="B71" s="6"/>
      <c r="D71" s="7"/>
      <c r="E71" s="5" t="str">
        <f t="shared" si="0"/>
        <v/>
      </c>
    </row>
    <row r="72" spans="2:5" x14ac:dyDescent="0.25">
      <c r="B72" s="6"/>
      <c r="D72" s="7"/>
      <c r="E72" s="5" t="str">
        <f t="shared" si="0"/>
        <v/>
      </c>
    </row>
    <row r="73" spans="2:5" x14ac:dyDescent="0.25">
      <c r="B73" s="6"/>
      <c r="D73" s="7"/>
      <c r="E73" s="5" t="str">
        <f t="shared" si="0"/>
        <v/>
      </c>
    </row>
    <row r="74" spans="2:5" x14ac:dyDescent="0.25">
      <c r="B74" s="6"/>
      <c r="D74" s="7"/>
      <c r="E74" s="5" t="str">
        <f t="shared" ref="E74:E137" si="1">IF(OR($B74="",$D74=""),"",$B74*$D74)</f>
        <v/>
      </c>
    </row>
    <row r="75" spans="2:5" x14ac:dyDescent="0.25">
      <c r="B75" s="6"/>
      <c r="D75" s="7"/>
      <c r="E75" s="5" t="str">
        <f t="shared" si="1"/>
        <v/>
      </c>
    </row>
    <row r="76" spans="2:5" x14ac:dyDescent="0.25">
      <c r="B76" s="6"/>
      <c r="D76" s="7"/>
      <c r="E76" s="5" t="str">
        <f t="shared" si="1"/>
        <v/>
      </c>
    </row>
    <row r="77" spans="2:5" x14ac:dyDescent="0.25">
      <c r="B77" s="6"/>
      <c r="D77" s="7"/>
      <c r="E77" s="5" t="str">
        <f t="shared" si="1"/>
        <v/>
      </c>
    </row>
    <row r="78" spans="2:5" x14ac:dyDescent="0.25">
      <c r="B78" s="6"/>
      <c r="D78" s="7"/>
      <c r="E78" s="5" t="str">
        <f t="shared" si="1"/>
        <v/>
      </c>
    </row>
    <row r="79" spans="2:5" x14ac:dyDescent="0.25">
      <c r="B79" s="6"/>
      <c r="D79" s="7"/>
      <c r="E79" s="5" t="str">
        <f t="shared" si="1"/>
        <v/>
      </c>
    </row>
    <row r="80" spans="2:5" x14ac:dyDescent="0.25">
      <c r="B80" s="6"/>
      <c r="D80" s="7"/>
      <c r="E80" s="5" t="str">
        <f t="shared" si="1"/>
        <v/>
      </c>
    </row>
    <row r="81" spans="2:5" x14ac:dyDescent="0.25">
      <c r="B81" s="6"/>
      <c r="D81" s="7"/>
      <c r="E81" s="5" t="str">
        <f t="shared" si="1"/>
        <v/>
      </c>
    </row>
    <row r="82" spans="2:5" x14ac:dyDescent="0.25">
      <c r="B82" s="6"/>
      <c r="D82" s="7"/>
      <c r="E82" s="5" t="str">
        <f t="shared" si="1"/>
        <v/>
      </c>
    </row>
    <row r="83" spans="2:5" x14ac:dyDescent="0.25">
      <c r="B83" s="6"/>
      <c r="D83" s="7"/>
      <c r="E83" s="5" t="str">
        <f t="shared" si="1"/>
        <v/>
      </c>
    </row>
    <row r="84" spans="2:5" x14ac:dyDescent="0.25">
      <c r="B84" s="6"/>
      <c r="D84" s="7"/>
      <c r="E84" s="5" t="str">
        <f t="shared" si="1"/>
        <v/>
      </c>
    </row>
    <row r="85" spans="2:5" x14ac:dyDescent="0.25">
      <c r="B85" s="6"/>
      <c r="D85" s="7"/>
      <c r="E85" s="5" t="str">
        <f t="shared" si="1"/>
        <v/>
      </c>
    </row>
    <row r="86" spans="2:5" x14ac:dyDescent="0.25">
      <c r="B86" s="6"/>
      <c r="D86" s="7"/>
      <c r="E86" s="5" t="str">
        <f t="shared" si="1"/>
        <v/>
      </c>
    </row>
    <row r="87" spans="2:5" x14ac:dyDescent="0.25">
      <c r="B87" s="6"/>
      <c r="D87" s="7"/>
      <c r="E87" s="5" t="str">
        <f t="shared" si="1"/>
        <v/>
      </c>
    </row>
    <row r="88" spans="2:5" x14ac:dyDescent="0.25">
      <c r="B88" s="6"/>
      <c r="D88" s="7"/>
      <c r="E88" s="5" t="str">
        <f t="shared" si="1"/>
        <v/>
      </c>
    </row>
    <row r="89" spans="2:5" x14ac:dyDescent="0.25">
      <c r="B89" s="6"/>
      <c r="D89" s="7"/>
      <c r="E89" s="5" t="str">
        <f t="shared" si="1"/>
        <v/>
      </c>
    </row>
    <row r="90" spans="2:5" x14ac:dyDescent="0.25">
      <c r="B90" s="6"/>
      <c r="D90" s="7"/>
      <c r="E90" s="5" t="str">
        <f t="shared" si="1"/>
        <v/>
      </c>
    </row>
    <row r="91" spans="2:5" x14ac:dyDescent="0.25">
      <c r="B91" s="6"/>
      <c r="D91" s="7"/>
      <c r="E91" s="5" t="str">
        <f t="shared" si="1"/>
        <v/>
      </c>
    </row>
    <row r="92" spans="2:5" x14ac:dyDescent="0.25">
      <c r="B92" s="6"/>
      <c r="D92" s="7"/>
      <c r="E92" s="5" t="str">
        <f t="shared" si="1"/>
        <v/>
      </c>
    </row>
    <row r="93" spans="2:5" x14ac:dyDescent="0.25">
      <c r="B93" s="6"/>
      <c r="D93" s="7"/>
      <c r="E93" s="5" t="str">
        <f t="shared" si="1"/>
        <v/>
      </c>
    </row>
    <row r="94" spans="2:5" x14ac:dyDescent="0.25">
      <c r="B94" s="6"/>
      <c r="D94" s="7"/>
      <c r="E94" s="5" t="str">
        <f t="shared" si="1"/>
        <v/>
      </c>
    </row>
    <row r="95" spans="2:5" x14ac:dyDescent="0.25">
      <c r="B95" s="6"/>
      <c r="D95" s="7"/>
      <c r="E95" s="5" t="str">
        <f t="shared" si="1"/>
        <v/>
      </c>
    </row>
    <row r="96" spans="2:5" x14ac:dyDescent="0.25">
      <c r="B96" s="6"/>
      <c r="D96" s="7"/>
      <c r="E96" s="5" t="str">
        <f t="shared" si="1"/>
        <v/>
      </c>
    </row>
    <row r="97" spans="2:5" x14ac:dyDescent="0.25">
      <c r="B97" s="6"/>
      <c r="D97" s="7"/>
      <c r="E97" s="5" t="str">
        <f t="shared" si="1"/>
        <v/>
      </c>
    </row>
    <row r="98" spans="2:5" x14ac:dyDescent="0.25">
      <c r="B98" s="6"/>
      <c r="D98" s="7"/>
      <c r="E98" s="5" t="str">
        <f t="shared" si="1"/>
        <v/>
      </c>
    </row>
    <row r="99" spans="2:5" x14ac:dyDescent="0.25">
      <c r="B99" s="6"/>
      <c r="D99" s="7"/>
      <c r="E99" s="5" t="str">
        <f t="shared" si="1"/>
        <v/>
      </c>
    </row>
    <row r="100" spans="2:5" x14ac:dyDescent="0.25">
      <c r="B100" s="6"/>
      <c r="D100" s="7"/>
      <c r="E100" s="5" t="str">
        <f t="shared" si="1"/>
        <v/>
      </c>
    </row>
    <row r="101" spans="2:5" x14ac:dyDescent="0.25">
      <c r="B101" s="6"/>
      <c r="D101" s="7"/>
      <c r="E101" s="5" t="str">
        <f t="shared" si="1"/>
        <v/>
      </c>
    </row>
    <row r="102" spans="2:5" x14ac:dyDescent="0.25">
      <c r="B102" s="6"/>
      <c r="D102" s="7"/>
      <c r="E102" s="5" t="str">
        <f t="shared" si="1"/>
        <v/>
      </c>
    </row>
    <row r="103" spans="2:5" x14ac:dyDescent="0.25">
      <c r="B103" s="6"/>
      <c r="D103" s="7"/>
      <c r="E103" s="5" t="str">
        <f t="shared" si="1"/>
        <v/>
      </c>
    </row>
    <row r="104" spans="2:5" x14ac:dyDescent="0.25">
      <c r="B104" s="6"/>
      <c r="D104" s="7"/>
      <c r="E104" s="5" t="str">
        <f t="shared" si="1"/>
        <v/>
      </c>
    </row>
    <row r="105" spans="2:5" x14ac:dyDescent="0.25">
      <c r="B105" s="6"/>
      <c r="D105" s="7"/>
      <c r="E105" s="5" t="str">
        <f t="shared" si="1"/>
        <v/>
      </c>
    </row>
    <row r="106" spans="2:5" x14ac:dyDescent="0.25">
      <c r="B106" s="6"/>
      <c r="D106" s="7"/>
      <c r="E106" s="5" t="str">
        <f t="shared" si="1"/>
        <v/>
      </c>
    </row>
    <row r="107" spans="2:5" x14ac:dyDescent="0.25">
      <c r="B107" s="6"/>
      <c r="D107" s="7"/>
      <c r="E107" s="5" t="str">
        <f t="shared" si="1"/>
        <v/>
      </c>
    </row>
    <row r="108" spans="2:5" x14ac:dyDescent="0.25">
      <c r="B108" s="6"/>
      <c r="D108" s="7"/>
      <c r="E108" s="5" t="str">
        <f t="shared" si="1"/>
        <v/>
      </c>
    </row>
    <row r="109" spans="2:5" x14ac:dyDescent="0.25">
      <c r="B109" s="6"/>
      <c r="D109" s="7"/>
      <c r="E109" s="5" t="str">
        <f t="shared" si="1"/>
        <v/>
      </c>
    </row>
    <row r="110" spans="2:5" x14ac:dyDescent="0.25">
      <c r="B110" s="6"/>
      <c r="D110" s="7"/>
      <c r="E110" s="5" t="str">
        <f t="shared" si="1"/>
        <v/>
      </c>
    </row>
    <row r="111" spans="2:5" x14ac:dyDescent="0.25">
      <c r="B111" s="6"/>
      <c r="D111" s="7"/>
      <c r="E111" s="5" t="str">
        <f t="shared" si="1"/>
        <v/>
      </c>
    </row>
    <row r="112" spans="2:5" x14ac:dyDescent="0.25">
      <c r="B112" s="6"/>
      <c r="D112" s="7"/>
      <c r="E112" s="5" t="str">
        <f t="shared" si="1"/>
        <v/>
      </c>
    </row>
    <row r="113" spans="2:5" x14ac:dyDescent="0.25">
      <c r="B113" s="6"/>
      <c r="D113" s="7"/>
      <c r="E113" s="5" t="str">
        <f t="shared" si="1"/>
        <v/>
      </c>
    </row>
    <row r="114" spans="2:5" x14ac:dyDescent="0.25">
      <c r="B114" s="6"/>
      <c r="D114" s="7"/>
      <c r="E114" s="5" t="str">
        <f t="shared" si="1"/>
        <v/>
      </c>
    </row>
    <row r="115" spans="2:5" x14ac:dyDescent="0.25">
      <c r="B115" s="6"/>
      <c r="D115" s="7"/>
      <c r="E115" s="5" t="str">
        <f t="shared" si="1"/>
        <v/>
      </c>
    </row>
    <row r="116" spans="2:5" x14ac:dyDescent="0.25">
      <c r="B116" s="6"/>
      <c r="D116" s="7"/>
      <c r="E116" s="5" t="str">
        <f t="shared" si="1"/>
        <v/>
      </c>
    </row>
    <row r="117" spans="2:5" x14ac:dyDescent="0.25">
      <c r="B117" s="6"/>
      <c r="D117" s="7"/>
      <c r="E117" s="5" t="str">
        <f t="shared" si="1"/>
        <v/>
      </c>
    </row>
    <row r="118" spans="2:5" x14ac:dyDescent="0.25">
      <c r="B118" s="6"/>
      <c r="D118" s="7"/>
      <c r="E118" s="5" t="str">
        <f t="shared" si="1"/>
        <v/>
      </c>
    </row>
    <row r="119" spans="2:5" x14ac:dyDescent="0.25">
      <c r="B119" s="6"/>
      <c r="D119" s="7"/>
      <c r="E119" s="5" t="str">
        <f t="shared" si="1"/>
        <v/>
      </c>
    </row>
    <row r="120" spans="2:5" x14ac:dyDescent="0.25">
      <c r="B120" s="6"/>
      <c r="D120" s="7"/>
      <c r="E120" s="5" t="str">
        <f t="shared" si="1"/>
        <v/>
      </c>
    </row>
    <row r="121" spans="2:5" x14ac:dyDescent="0.25">
      <c r="B121" s="6"/>
      <c r="D121" s="7"/>
      <c r="E121" s="5" t="str">
        <f t="shared" si="1"/>
        <v/>
      </c>
    </row>
    <row r="122" spans="2:5" x14ac:dyDescent="0.25">
      <c r="B122" s="6"/>
      <c r="D122" s="7"/>
      <c r="E122" s="5" t="str">
        <f t="shared" si="1"/>
        <v/>
      </c>
    </row>
    <row r="123" spans="2:5" x14ac:dyDescent="0.25">
      <c r="B123" s="6"/>
      <c r="D123" s="7"/>
      <c r="E123" s="5" t="str">
        <f t="shared" si="1"/>
        <v/>
      </c>
    </row>
    <row r="124" spans="2:5" x14ac:dyDescent="0.25">
      <c r="B124" s="6"/>
      <c r="D124" s="7"/>
      <c r="E124" s="5" t="str">
        <f t="shared" si="1"/>
        <v/>
      </c>
    </row>
    <row r="125" spans="2:5" x14ac:dyDescent="0.25">
      <c r="B125" s="6"/>
      <c r="D125" s="7"/>
      <c r="E125" s="5" t="str">
        <f t="shared" si="1"/>
        <v/>
      </c>
    </row>
    <row r="126" spans="2:5" x14ac:dyDescent="0.25">
      <c r="B126" s="6"/>
      <c r="D126" s="7"/>
      <c r="E126" s="5" t="str">
        <f t="shared" si="1"/>
        <v/>
      </c>
    </row>
    <row r="127" spans="2:5" x14ac:dyDescent="0.25">
      <c r="B127" s="6"/>
      <c r="D127" s="7"/>
      <c r="E127" s="5" t="str">
        <f t="shared" si="1"/>
        <v/>
      </c>
    </row>
    <row r="128" spans="2:5" x14ac:dyDescent="0.25">
      <c r="B128" s="6"/>
      <c r="D128" s="7"/>
      <c r="E128" s="5" t="str">
        <f t="shared" si="1"/>
        <v/>
      </c>
    </row>
    <row r="129" spans="2:5" x14ac:dyDescent="0.25">
      <c r="B129" s="6"/>
      <c r="D129" s="7"/>
      <c r="E129" s="5" t="str">
        <f t="shared" si="1"/>
        <v/>
      </c>
    </row>
    <row r="130" spans="2:5" x14ac:dyDescent="0.25">
      <c r="B130" s="6"/>
      <c r="D130" s="7"/>
      <c r="E130" s="5" t="str">
        <f t="shared" si="1"/>
        <v/>
      </c>
    </row>
    <row r="131" spans="2:5" x14ac:dyDescent="0.25">
      <c r="B131" s="6"/>
      <c r="D131" s="7"/>
      <c r="E131" s="5" t="str">
        <f t="shared" si="1"/>
        <v/>
      </c>
    </row>
    <row r="132" spans="2:5" x14ac:dyDescent="0.25">
      <c r="B132" s="6"/>
      <c r="D132" s="7"/>
      <c r="E132" s="5" t="str">
        <f t="shared" si="1"/>
        <v/>
      </c>
    </row>
    <row r="133" spans="2:5" x14ac:dyDescent="0.25">
      <c r="B133" s="6"/>
      <c r="D133" s="7"/>
      <c r="E133" s="5" t="str">
        <f t="shared" si="1"/>
        <v/>
      </c>
    </row>
    <row r="134" spans="2:5" x14ac:dyDescent="0.25">
      <c r="B134" s="6"/>
      <c r="D134" s="7"/>
      <c r="E134" s="5" t="str">
        <f t="shared" si="1"/>
        <v/>
      </c>
    </row>
    <row r="135" spans="2:5" x14ac:dyDescent="0.25">
      <c r="B135" s="6"/>
      <c r="D135" s="7"/>
      <c r="E135" s="5" t="str">
        <f t="shared" si="1"/>
        <v/>
      </c>
    </row>
    <row r="136" spans="2:5" x14ac:dyDescent="0.25">
      <c r="B136" s="6"/>
      <c r="D136" s="7"/>
      <c r="E136" s="5" t="str">
        <f t="shared" si="1"/>
        <v/>
      </c>
    </row>
    <row r="137" spans="2:5" x14ac:dyDescent="0.25">
      <c r="B137" s="6"/>
      <c r="D137" s="7"/>
      <c r="E137" s="5" t="str">
        <f t="shared" si="1"/>
        <v/>
      </c>
    </row>
    <row r="138" spans="2:5" x14ac:dyDescent="0.25">
      <c r="B138" s="6"/>
      <c r="D138" s="7"/>
      <c r="E138" s="5" t="str">
        <f t="shared" ref="E138:E201" si="2">IF(OR($B138="",$D138=""),"",$B138*$D138)</f>
        <v/>
      </c>
    </row>
    <row r="139" spans="2:5" x14ac:dyDescent="0.25">
      <c r="B139" s="6"/>
      <c r="D139" s="7"/>
      <c r="E139" s="5" t="str">
        <f t="shared" si="2"/>
        <v/>
      </c>
    </row>
    <row r="140" spans="2:5" x14ac:dyDescent="0.25">
      <c r="B140" s="6"/>
      <c r="D140" s="7"/>
      <c r="E140" s="5" t="str">
        <f t="shared" si="2"/>
        <v/>
      </c>
    </row>
    <row r="141" spans="2:5" x14ac:dyDescent="0.25">
      <c r="B141" s="6"/>
      <c r="D141" s="7"/>
      <c r="E141" s="5" t="str">
        <f t="shared" si="2"/>
        <v/>
      </c>
    </row>
    <row r="142" spans="2:5" x14ac:dyDescent="0.25">
      <c r="B142" s="6"/>
      <c r="D142" s="7"/>
      <c r="E142" s="5" t="str">
        <f t="shared" si="2"/>
        <v/>
      </c>
    </row>
    <row r="143" spans="2:5" x14ac:dyDescent="0.25">
      <c r="B143" s="6"/>
      <c r="D143" s="7"/>
      <c r="E143" s="5" t="str">
        <f t="shared" si="2"/>
        <v/>
      </c>
    </row>
    <row r="144" spans="2:5" x14ac:dyDescent="0.25">
      <c r="B144" s="6"/>
      <c r="D144" s="7"/>
      <c r="E144" s="5" t="str">
        <f t="shared" si="2"/>
        <v/>
      </c>
    </row>
    <row r="145" spans="2:5" x14ac:dyDescent="0.25">
      <c r="B145" s="6"/>
      <c r="D145" s="7"/>
      <c r="E145" s="5" t="str">
        <f t="shared" si="2"/>
        <v/>
      </c>
    </row>
    <row r="146" spans="2:5" x14ac:dyDescent="0.25">
      <c r="B146" s="6"/>
      <c r="D146" s="7"/>
      <c r="E146" s="5" t="str">
        <f t="shared" si="2"/>
        <v/>
      </c>
    </row>
    <row r="147" spans="2:5" x14ac:dyDescent="0.25">
      <c r="B147" s="6"/>
      <c r="D147" s="7"/>
      <c r="E147" s="5" t="str">
        <f t="shared" si="2"/>
        <v/>
      </c>
    </row>
    <row r="148" spans="2:5" x14ac:dyDescent="0.25">
      <c r="B148" s="6"/>
      <c r="D148" s="7"/>
      <c r="E148" s="5" t="str">
        <f t="shared" si="2"/>
        <v/>
      </c>
    </row>
    <row r="149" spans="2:5" x14ac:dyDescent="0.25">
      <c r="B149" s="6"/>
      <c r="D149" s="7"/>
      <c r="E149" s="5" t="str">
        <f t="shared" si="2"/>
        <v/>
      </c>
    </row>
    <row r="150" spans="2:5" x14ac:dyDescent="0.25">
      <c r="B150" s="6"/>
      <c r="D150" s="7"/>
      <c r="E150" s="5" t="str">
        <f t="shared" si="2"/>
        <v/>
      </c>
    </row>
    <row r="151" spans="2:5" x14ac:dyDescent="0.25">
      <c r="B151" s="6"/>
      <c r="D151" s="7"/>
      <c r="E151" s="5" t="str">
        <f t="shared" si="2"/>
        <v/>
      </c>
    </row>
    <row r="152" spans="2:5" x14ac:dyDescent="0.25">
      <c r="B152" s="6"/>
      <c r="D152" s="7"/>
      <c r="E152" s="5" t="str">
        <f t="shared" si="2"/>
        <v/>
      </c>
    </row>
    <row r="153" spans="2:5" x14ac:dyDescent="0.25">
      <c r="B153" s="6"/>
      <c r="D153" s="7"/>
      <c r="E153" s="5" t="str">
        <f t="shared" si="2"/>
        <v/>
      </c>
    </row>
    <row r="154" spans="2:5" x14ac:dyDescent="0.25">
      <c r="B154" s="6"/>
      <c r="D154" s="7"/>
      <c r="E154" s="5" t="str">
        <f t="shared" si="2"/>
        <v/>
      </c>
    </row>
    <row r="155" spans="2:5" x14ac:dyDescent="0.25">
      <c r="B155" s="6"/>
      <c r="D155" s="7"/>
      <c r="E155" s="5" t="str">
        <f t="shared" si="2"/>
        <v/>
      </c>
    </row>
    <row r="156" spans="2:5" x14ac:dyDescent="0.25">
      <c r="B156" s="6"/>
      <c r="D156" s="7"/>
      <c r="E156" s="5" t="str">
        <f t="shared" si="2"/>
        <v/>
      </c>
    </row>
    <row r="157" spans="2:5" x14ac:dyDescent="0.25">
      <c r="B157" s="6"/>
      <c r="D157" s="7"/>
      <c r="E157" s="5" t="str">
        <f t="shared" si="2"/>
        <v/>
      </c>
    </row>
    <row r="158" spans="2:5" x14ac:dyDescent="0.25">
      <c r="B158" s="6"/>
      <c r="D158" s="7"/>
      <c r="E158" s="5" t="str">
        <f t="shared" si="2"/>
        <v/>
      </c>
    </row>
    <row r="159" spans="2:5" x14ac:dyDescent="0.25">
      <c r="B159" s="6"/>
      <c r="D159" s="7"/>
      <c r="E159" s="5" t="str">
        <f t="shared" si="2"/>
        <v/>
      </c>
    </row>
    <row r="160" spans="2:5" x14ac:dyDescent="0.25">
      <c r="B160" s="6"/>
      <c r="D160" s="7"/>
      <c r="E160" s="5" t="str">
        <f t="shared" si="2"/>
        <v/>
      </c>
    </row>
    <row r="161" spans="2:5" x14ac:dyDescent="0.25">
      <c r="B161" s="6"/>
      <c r="D161" s="7"/>
      <c r="E161" s="5" t="str">
        <f t="shared" si="2"/>
        <v/>
      </c>
    </row>
    <row r="162" spans="2:5" x14ac:dyDescent="0.25">
      <c r="B162" s="6"/>
      <c r="D162" s="7"/>
      <c r="E162" s="5" t="str">
        <f t="shared" si="2"/>
        <v/>
      </c>
    </row>
    <row r="163" spans="2:5" x14ac:dyDescent="0.25">
      <c r="B163" s="6"/>
      <c r="D163" s="7"/>
      <c r="E163" s="5" t="str">
        <f t="shared" si="2"/>
        <v/>
      </c>
    </row>
    <row r="164" spans="2:5" x14ac:dyDescent="0.25">
      <c r="B164" s="6"/>
      <c r="D164" s="7"/>
      <c r="E164" s="5" t="str">
        <f t="shared" si="2"/>
        <v/>
      </c>
    </row>
    <row r="165" spans="2:5" x14ac:dyDescent="0.25">
      <c r="B165" s="6"/>
      <c r="D165" s="7"/>
      <c r="E165" s="5" t="str">
        <f t="shared" si="2"/>
        <v/>
      </c>
    </row>
    <row r="166" spans="2:5" x14ac:dyDescent="0.25">
      <c r="B166" s="6"/>
      <c r="D166" s="7"/>
      <c r="E166" s="5" t="str">
        <f t="shared" si="2"/>
        <v/>
      </c>
    </row>
    <row r="167" spans="2:5" x14ac:dyDescent="0.25">
      <c r="B167" s="6"/>
      <c r="D167" s="7"/>
      <c r="E167" s="5" t="str">
        <f t="shared" si="2"/>
        <v/>
      </c>
    </row>
    <row r="168" spans="2:5" x14ac:dyDescent="0.25">
      <c r="B168" s="6"/>
      <c r="D168" s="7"/>
      <c r="E168" s="5" t="str">
        <f t="shared" si="2"/>
        <v/>
      </c>
    </row>
    <row r="169" spans="2:5" x14ac:dyDescent="0.25">
      <c r="B169" s="6"/>
      <c r="D169" s="7"/>
      <c r="E169" s="5" t="str">
        <f t="shared" si="2"/>
        <v/>
      </c>
    </row>
    <row r="170" spans="2:5" x14ac:dyDescent="0.25">
      <c r="B170" s="6"/>
      <c r="D170" s="7"/>
      <c r="E170" s="5" t="str">
        <f t="shared" si="2"/>
        <v/>
      </c>
    </row>
    <row r="171" spans="2:5" x14ac:dyDescent="0.25">
      <c r="B171" s="6"/>
      <c r="D171" s="7"/>
      <c r="E171" s="5" t="str">
        <f t="shared" si="2"/>
        <v/>
      </c>
    </row>
    <row r="172" spans="2:5" x14ac:dyDescent="0.25">
      <c r="B172" s="6"/>
      <c r="D172" s="7"/>
      <c r="E172" s="5" t="str">
        <f t="shared" si="2"/>
        <v/>
      </c>
    </row>
    <row r="173" spans="2:5" x14ac:dyDescent="0.25">
      <c r="B173" s="6"/>
      <c r="D173" s="7"/>
      <c r="E173" s="5" t="str">
        <f t="shared" si="2"/>
        <v/>
      </c>
    </row>
    <row r="174" spans="2:5" x14ac:dyDescent="0.25">
      <c r="B174" s="6"/>
      <c r="D174" s="7"/>
      <c r="E174" s="5" t="str">
        <f t="shared" si="2"/>
        <v/>
      </c>
    </row>
    <row r="175" spans="2:5" x14ac:dyDescent="0.25">
      <c r="B175" s="6"/>
      <c r="D175" s="7"/>
      <c r="E175" s="5" t="str">
        <f t="shared" si="2"/>
        <v/>
      </c>
    </row>
    <row r="176" spans="2:5" x14ac:dyDescent="0.25">
      <c r="B176" s="6"/>
      <c r="D176" s="7"/>
      <c r="E176" s="5" t="str">
        <f t="shared" si="2"/>
        <v/>
      </c>
    </row>
    <row r="177" spans="2:5" x14ac:dyDescent="0.25">
      <c r="B177" s="6"/>
      <c r="D177" s="7"/>
      <c r="E177" s="5" t="str">
        <f t="shared" si="2"/>
        <v/>
      </c>
    </row>
    <row r="178" spans="2:5" x14ac:dyDescent="0.25">
      <c r="B178" s="6"/>
      <c r="D178" s="7"/>
      <c r="E178" s="5" t="str">
        <f t="shared" si="2"/>
        <v/>
      </c>
    </row>
    <row r="179" spans="2:5" x14ac:dyDescent="0.25">
      <c r="B179" s="6"/>
      <c r="D179" s="7"/>
      <c r="E179" s="5" t="str">
        <f t="shared" si="2"/>
        <v/>
      </c>
    </row>
    <row r="180" spans="2:5" x14ac:dyDescent="0.25">
      <c r="B180" s="6"/>
      <c r="D180" s="7"/>
      <c r="E180" s="5" t="str">
        <f t="shared" si="2"/>
        <v/>
      </c>
    </row>
    <row r="181" spans="2:5" x14ac:dyDescent="0.25">
      <c r="B181" s="6"/>
      <c r="D181" s="7"/>
      <c r="E181" s="5" t="str">
        <f t="shared" si="2"/>
        <v/>
      </c>
    </row>
    <row r="182" spans="2:5" x14ac:dyDescent="0.25">
      <c r="B182" s="6"/>
      <c r="D182" s="7"/>
      <c r="E182" s="5" t="str">
        <f t="shared" si="2"/>
        <v/>
      </c>
    </row>
    <row r="183" spans="2:5" x14ac:dyDescent="0.25">
      <c r="B183" s="6"/>
      <c r="D183" s="7"/>
      <c r="E183" s="5" t="str">
        <f t="shared" si="2"/>
        <v/>
      </c>
    </row>
    <row r="184" spans="2:5" x14ac:dyDescent="0.25">
      <c r="B184" s="6"/>
      <c r="D184" s="7"/>
      <c r="E184" s="5" t="str">
        <f t="shared" si="2"/>
        <v/>
      </c>
    </row>
    <row r="185" spans="2:5" x14ac:dyDescent="0.25">
      <c r="B185" s="6"/>
      <c r="D185" s="7"/>
      <c r="E185" s="5" t="str">
        <f t="shared" si="2"/>
        <v/>
      </c>
    </row>
    <row r="186" spans="2:5" x14ac:dyDescent="0.25">
      <c r="B186" s="6"/>
      <c r="D186" s="7"/>
      <c r="E186" s="5" t="str">
        <f t="shared" si="2"/>
        <v/>
      </c>
    </row>
    <row r="187" spans="2:5" x14ac:dyDescent="0.25">
      <c r="B187" s="6"/>
      <c r="D187" s="7"/>
      <c r="E187" s="5" t="str">
        <f t="shared" si="2"/>
        <v/>
      </c>
    </row>
    <row r="188" spans="2:5" x14ac:dyDescent="0.25">
      <c r="B188" s="6"/>
      <c r="D188" s="7"/>
      <c r="E188" s="5" t="str">
        <f t="shared" si="2"/>
        <v/>
      </c>
    </row>
    <row r="189" spans="2:5" x14ac:dyDescent="0.25">
      <c r="B189" s="6"/>
      <c r="D189" s="7"/>
      <c r="E189" s="5" t="str">
        <f t="shared" si="2"/>
        <v/>
      </c>
    </row>
    <row r="190" spans="2:5" x14ac:dyDescent="0.25">
      <c r="B190" s="6"/>
      <c r="D190" s="7"/>
      <c r="E190" s="5" t="str">
        <f t="shared" si="2"/>
        <v/>
      </c>
    </row>
    <row r="191" spans="2:5" x14ac:dyDescent="0.25">
      <c r="B191" s="6"/>
      <c r="D191" s="7"/>
      <c r="E191" s="5" t="str">
        <f t="shared" si="2"/>
        <v/>
      </c>
    </row>
    <row r="192" spans="2:5" x14ac:dyDescent="0.25">
      <c r="B192" s="6"/>
      <c r="D192" s="7"/>
      <c r="E192" s="5" t="str">
        <f t="shared" si="2"/>
        <v/>
      </c>
    </row>
    <row r="193" spans="2:5" x14ac:dyDescent="0.25">
      <c r="B193" s="6"/>
      <c r="D193" s="7"/>
      <c r="E193" s="5" t="str">
        <f t="shared" si="2"/>
        <v/>
      </c>
    </row>
    <row r="194" spans="2:5" x14ac:dyDescent="0.25">
      <c r="B194" s="6"/>
      <c r="D194" s="7"/>
      <c r="E194" s="5" t="str">
        <f t="shared" si="2"/>
        <v/>
      </c>
    </row>
    <row r="195" spans="2:5" x14ac:dyDescent="0.25">
      <c r="B195" s="6"/>
      <c r="D195" s="7"/>
      <c r="E195" s="5" t="str">
        <f t="shared" si="2"/>
        <v/>
      </c>
    </row>
    <row r="196" spans="2:5" x14ac:dyDescent="0.25">
      <c r="B196" s="6"/>
      <c r="D196" s="7"/>
      <c r="E196" s="5" t="str">
        <f t="shared" si="2"/>
        <v/>
      </c>
    </row>
    <row r="197" spans="2:5" x14ac:dyDescent="0.25">
      <c r="B197" s="6"/>
      <c r="D197" s="7"/>
      <c r="E197" s="5" t="str">
        <f t="shared" si="2"/>
        <v/>
      </c>
    </row>
    <row r="198" spans="2:5" x14ac:dyDescent="0.25">
      <c r="B198" s="6"/>
      <c r="D198" s="7"/>
      <c r="E198" s="5" t="str">
        <f t="shared" si="2"/>
        <v/>
      </c>
    </row>
    <row r="199" spans="2:5" x14ac:dyDescent="0.25">
      <c r="B199" s="6"/>
      <c r="D199" s="7"/>
      <c r="E199" s="5" t="str">
        <f t="shared" si="2"/>
        <v/>
      </c>
    </row>
    <row r="200" spans="2:5" x14ac:dyDescent="0.25">
      <c r="B200" s="6"/>
      <c r="D200" s="7"/>
      <c r="E200" s="5" t="str">
        <f t="shared" si="2"/>
        <v/>
      </c>
    </row>
    <row r="201" spans="2:5" x14ac:dyDescent="0.25">
      <c r="B201" s="6"/>
      <c r="D201" s="7"/>
      <c r="E201" s="5" t="str">
        <f t="shared" si="2"/>
        <v/>
      </c>
    </row>
    <row r="202" spans="2:5" x14ac:dyDescent="0.25">
      <c r="B202" s="6"/>
      <c r="D202" s="7"/>
      <c r="E202" s="5" t="str">
        <f t="shared" ref="E202:E208" si="3">IF(OR($B202="",$D202=""),"",$B202*$D202)</f>
        <v/>
      </c>
    </row>
    <row r="203" spans="2:5" x14ac:dyDescent="0.25">
      <c r="B203" s="6"/>
      <c r="D203" s="7"/>
      <c r="E203" s="5" t="str">
        <f t="shared" si="3"/>
        <v/>
      </c>
    </row>
    <row r="204" spans="2:5" x14ac:dyDescent="0.25">
      <c r="B204" s="6"/>
      <c r="D204" s="7"/>
      <c r="E204" s="5" t="str">
        <f t="shared" si="3"/>
        <v/>
      </c>
    </row>
    <row r="205" spans="2:5" x14ac:dyDescent="0.25">
      <c r="B205" s="6"/>
      <c r="D205" s="7"/>
      <c r="E205" s="5" t="str">
        <f t="shared" si="3"/>
        <v/>
      </c>
    </row>
    <row r="206" spans="2:5" x14ac:dyDescent="0.25">
      <c r="B206" s="6"/>
      <c r="D206" s="7"/>
      <c r="E206" s="5" t="str">
        <f t="shared" si="3"/>
        <v/>
      </c>
    </row>
    <row r="207" spans="2:5" x14ac:dyDescent="0.25">
      <c r="B207" s="6"/>
      <c r="D207" s="7"/>
      <c r="E207" s="5" t="str">
        <f t="shared" si="3"/>
        <v/>
      </c>
    </row>
    <row r="208" spans="2:5" x14ac:dyDescent="0.25">
      <c r="B208" s="6"/>
      <c r="D208" s="7"/>
      <c r="E208" s="5" t="str">
        <f t="shared" si="3"/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7A457-9413-41F9-868C-BF82929BE63E}">
  <dimension ref="A1:K161"/>
  <sheetViews>
    <sheetView workbookViewId="0">
      <pane ySplit="11" topLeftCell="A12" activePane="bottomLeft" state="frozen"/>
      <selection pane="bottomLeft" activeCell="B22" sqref="B22"/>
    </sheetView>
  </sheetViews>
  <sheetFormatPr baseColWidth="10" defaultRowHeight="15" x14ac:dyDescent="0.25"/>
  <cols>
    <col min="1" max="1" width="45.7109375" customWidth="1"/>
    <col min="2" max="3" width="18.140625" customWidth="1"/>
    <col min="4" max="4" width="4.7109375" customWidth="1"/>
    <col min="5" max="5" width="38.140625" customWidth="1"/>
    <col min="6" max="6" width="21" customWidth="1"/>
    <col min="7" max="7" width="4.7109375" customWidth="1"/>
    <col min="8" max="8" width="36.140625" customWidth="1"/>
    <col min="9" max="10" width="15.28515625" customWidth="1"/>
    <col min="11" max="11" width="21" customWidth="1"/>
  </cols>
  <sheetData>
    <row r="1" spans="1:11" ht="21" x14ac:dyDescent="0.35">
      <c r="A1" s="1" t="s">
        <v>2</v>
      </c>
    </row>
    <row r="3" spans="1:11" x14ac:dyDescent="0.25">
      <c r="A3" s="2" t="s">
        <v>3</v>
      </c>
      <c r="B3" s="8">
        <v>30</v>
      </c>
    </row>
    <row r="4" spans="1:11" x14ac:dyDescent="0.25">
      <c r="A4" s="2" t="s">
        <v>34</v>
      </c>
      <c r="B4" s="8">
        <v>0.3</v>
      </c>
    </row>
    <row r="5" spans="1:11" x14ac:dyDescent="0.25">
      <c r="A5" s="2"/>
    </row>
    <row r="6" spans="1:11" x14ac:dyDescent="0.25">
      <c r="A6" t="s">
        <v>18</v>
      </c>
      <c r="B6" s="5">
        <f>SUM(C12:C161)</f>
        <v>0</v>
      </c>
    </row>
    <row r="7" spans="1:11" x14ac:dyDescent="0.25">
      <c r="A7" t="s">
        <v>19</v>
      </c>
      <c r="B7" s="5">
        <f>SUM(F12:F111)</f>
        <v>0</v>
      </c>
    </row>
    <row r="8" spans="1:11" x14ac:dyDescent="0.25">
      <c r="A8" s="2" t="s">
        <v>35</v>
      </c>
      <c r="B8" s="5">
        <f>SUM(K12:K61)</f>
        <v>0</v>
      </c>
    </row>
    <row r="9" spans="1:11" x14ac:dyDescent="0.25">
      <c r="A9" s="2" t="s">
        <v>4</v>
      </c>
      <c r="B9" s="3">
        <f>B6+B7+B8</f>
        <v>0</v>
      </c>
    </row>
    <row r="10" spans="1:11" x14ac:dyDescent="0.25">
      <c r="A10" s="9" t="s">
        <v>20</v>
      </c>
      <c r="E10" s="9" t="s">
        <v>23</v>
      </c>
      <c r="H10" s="9" t="s">
        <v>36</v>
      </c>
    </row>
    <row r="11" spans="1:11" x14ac:dyDescent="0.25">
      <c r="A11" s="11" t="s">
        <v>21</v>
      </c>
      <c r="B11" s="11" t="s">
        <v>22</v>
      </c>
      <c r="C11" s="11" t="s">
        <v>17</v>
      </c>
      <c r="E11" s="11" t="s">
        <v>13</v>
      </c>
      <c r="F11" s="11" t="s">
        <v>17</v>
      </c>
      <c r="H11" s="11" t="s">
        <v>37</v>
      </c>
      <c r="I11" s="11" t="s">
        <v>38</v>
      </c>
      <c r="J11" s="11" t="s">
        <v>22</v>
      </c>
      <c r="K11" s="11" t="s">
        <v>17</v>
      </c>
    </row>
    <row r="12" spans="1:11" x14ac:dyDescent="0.25">
      <c r="B12" s="10"/>
      <c r="C12" s="5" t="str">
        <f t="shared" ref="C12:C43" si="0">IF($B12="","",$B12*$B$3)</f>
        <v/>
      </c>
      <c r="F12" s="7"/>
      <c r="I12" s="10"/>
      <c r="J12" s="10"/>
      <c r="K12" s="5" t="str">
        <f t="shared" ref="K12:K43" si="1">IF(AND($I12="",$J12=""),"",IF($I12="",0,$I12*$B$4)+IF($J12="",0,$J12*$B$3))</f>
        <v/>
      </c>
    </row>
    <row r="13" spans="1:11" x14ac:dyDescent="0.25">
      <c r="B13" s="10"/>
      <c r="C13" s="5" t="str">
        <f t="shared" si="0"/>
        <v/>
      </c>
      <c r="F13" s="7"/>
      <c r="I13" s="10"/>
      <c r="J13" s="10"/>
      <c r="K13" s="5" t="str">
        <f t="shared" si="1"/>
        <v/>
      </c>
    </row>
    <row r="14" spans="1:11" x14ac:dyDescent="0.25">
      <c r="B14" s="10"/>
      <c r="C14" s="5" t="str">
        <f t="shared" si="0"/>
        <v/>
      </c>
      <c r="F14" s="7"/>
      <c r="I14" s="10"/>
      <c r="J14" s="10"/>
      <c r="K14" s="5" t="str">
        <f t="shared" si="1"/>
        <v/>
      </c>
    </row>
    <row r="15" spans="1:11" x14ac:dyDescent="0.25">
      <c r="B15" s="10"/>
      <c r="C15" s="5" t="str">
        <f t="shared" si="0"/>
        <v/>
      </c>
      <c r="F15" s="7"/>
      <c r="I15" s="10"/>
      <c r="J15" s="10"/>
      <c r="K15" s="5" t="str">
        <f t="shared" si="1"/>
        <v/>
      </c>
    </row>
    <row r="16" spans="1:11" x14ac:dyDescent="0.25">
      <c r="B16" s="10"/>
      <c r="C16" s="5" t="str">
        <f t="shared" si="0"/>
        <v/>
      </c>
      <c r="F16" s="7"/>
      <c r="I16" s="10"/>
      <c r="J16" s="10"/>
      <c r="K16" s="5" t="str">
        <f t="shared" si="1"/>
        <v/>
      </c>
    </row>
    <row r="17" spans="2:11" x14ac:dyDescent="0.25">
      <c r="B17" s="10"/>
      <c r="C17" s="5" t="str">
        <f t="shared" si="0"/>
        <v/>
      </c>
      <c r="F17" s="7"/>
      <c r="I17" s="10"/>
      <c r="J17" s="10"/>
      <c r="K17" s="5" t="str">
        <f t="shared" si="1"/>
        <v/>
      </c>
    </row>
    <row r="18" spans="2:11" x14ac:dyDescent="0.25">
      <c r="B18" s="10"/>
      <c r="C18" s="5" t="str">
        <f t="shared" si="0"/>
        <v/>
      </c>
      <c r="F18" s="7"/>
      <c r="I18" s="10"/>
      <c r="J18" s="10"/>
      <c r="K18" s="5" t="str">
        <f t="shared" si="1"/>
        <v/>
      </c>
    </row>
    <row r="19" spans="2:11" x14ac:dyDescent="0.25">
      <c r="B19" s="10"/>
      <c r="C19" s="5" t="str">
        <f t="shared" si="0"/>
        <v/>
      </c>
      <c r="F19" s="7"/>
      <c r="I19" s="10"/>
      <c r="J19" s="10"/>
      <c r="K19" s="5" t="str">
        <f t="shared" si="1"/>
        <v/>
      </c>
    </row>
    <row r="20" spans="2:11" x14ac:dyDescent="0.25">
      <c r="B20" s="10"/>
      <c r="C20" s="5" t="str">
        <f t="shared" si="0"/>
        <v/>
      </c>
      <c r="F20" s="7"/>
      <c r="I20" s="10"/>
      <c r="J20" s="10"/>
      <c r="K20" s="5" t="str">
        <f t="shared" si="1"/>
        <v/>
      </c>
    </row>
    <row r="21" spans="2:11" x14ac:dyDescent="0.25">
      <c r="B21" s="10"/>
      <c r="C21" s="5" t="str">
        <f t="shared" si="0"/>
        <v/>
      </c>
      <c r="F21" s="7"/>
      <c r="I21" s="10"/>
      <c r="J21" s="10"/>
      <c r="K21" s="5" t="str">
        <f t="shared" si="1"/>
        <v/>
      </c>
    </row>
    <row r="22" spans="2:11" x14ac:dyDescent="0.25">
      <c r="B22" s="10"/>
      <c r="C22" s="5" t="str">
        <f t="shared" si="0"/>
        <v/>
      </c>
      <c r="F22" s="7"/>
      <c r="I22" s="10"/>
      <c r="J22" s="10"/>
      <c r="K22" s="5" t="str">
        <f t="shared" si="1"/>
        <v/>
      </c>
    </row>
    <row r="23" spans="2:11" x14ac:dyDescent="0.25">
      <c r="B23" s="10"/>
      <c r="C23" s="5" t="str">
        <f t="shared" si="0"/>
        <v/>
      </c>
      <c r="F23" s="7"/>
      <c r="I23" s="10"/>
      <c r="J23" s="10"/>
      <c r="K23" s="5" t="str">
        <f t="shared" si="1"/>
        <v/>
      </c>
    </row>
    <row r="24" spans="2:11" x14ac:dyDescent="0.25">
      <c r="B24" s="10"/>
      <c r="C24" s="5" t="str">
        <f t="shared" si="0"/>
        <v/>
      </c>
      <c r="F24" s="7"/>
      <c r="I24" s="10"/>
      <c r="J24" s="10"/>
      <c r="K24" s="5" t="str">
        <f t="shared" si="1"/>
        <v/>
      </c>
    </row>
    <row r="25" spans="2:11" x14ac:dyDescent="0.25">
      <c r="B25" s="10"/>
      <c r="C25" s="5" t="str">
        <f t="shared" si="0"/>
        <v/>
      </c>
      <c r="F25" s="7"/>
      <c r="I25" s="10"/>
      <c r="J25" s="10"/>
      <c r="K25" s="5" t="str">
        <f t="shared" si="1"/>
        <v/>
      </c>
    </row>
    <row r="26" spans="2:11" x14ac:dyDescent="0.25">
      <c r="B26" s="10"/>
      <c r="C26" s="5" t="str">
        <f t="shared" si="0"/>
        <v/>
      </c>
      <c r="F26" s="7"/>
      <c r="I26" s="10"/>
      <c r="J26" s="10"/>
      <c r="K26" s="5" t="str">
        <f t="shared" si="1"/>
        <v/>
      </c>
    </row>
    <row r="27" spans="2:11" x14ac:dyDescent="0.25">
      <c r="B27" s="10"/>
      <c r="C27" s="5" t="str">
        <f t="shared" si="0"/>
        <v/>
      </c>
      <c r="F27" s="7"/>
      <c r="I27" s="10"/>
      <c r="J27" s="10"/>
      <c r="K27" s="5" t="str">
        <f t="shared" si="1"/>
        <v/>
      </c>
    </row>
    <row r="28" spans="2:11" x14ac:dyDescent="0.25">
      <c r="B28" s="10"/>
      <c r="C28" s="5" t="str">
        <f t="shared" si="0"/>
        <v/>
      </c>
      <c r="F28" s="7"/>
      <c r="I28" s="10"/>
      <c r="J28" s="10"/>
      <c r="K28" s="5" t="str">
        <f t="shared" si="1"/>
        <v/>
      </c>
    </row>
    <row r="29" spans="2:11" x14ac:dyDescent="0.25">
      <c r="B29" s="10"/>
      <c r="C29" s="5" t="str">
        <f t="shared" si="0"/>
        <v/>
      </c>
      <c r="F29" s="7"/>
      <c r="I29" s="10"/>
      <c r="J29" s="10"/>
      <c r="K29" s="5" t="str">
        <f t="shared" si="1"/>
        <v/>
      </c>
    </row>
    <row r="30" spans="2:11" x14ac:dyDescent="0.25">
      <c r="B30" s="10"/>
      <c r="C30" s="5" t="str">
        <f t="shared" si="0"/>
        <v/>
      </c>
      <c r="F30" s="7"/>
      <c r="I30" s="10"/>
      <c r="J30" s="10"/>
      <c r="K30" s="5" t="str">
        <f t="shared" si="1"/>
        <v/>
      </c>
    </row>
    <row r="31" spans="2:11" x14ac:dyDescent="0.25">
      <c r="B31" s="10"/>
      <c r="C31" s="5" t="str">
        <f t="shared" si="0"/>
        <v/>
      </c>
      <c r="F31" s="7"/>
      <c r="I31" s="10"/>
      <c r="J31" s="10"/>
      <c r="K31" s="5" t="str">
        <f t="shared" si="1"/>
        <v/>
      </c>
    </row>
    <row r="32" spans="2:11" x14ac:dyDescent="0.25">
      <c r="B32" s="10"/>
      <c r="C32" s="5" t="str">
        <f t="shared" si="0"/>
        <v/>
      </c>
      <c r="F32" s="7"/>
      <c r="I32" s="10"/>
      <c r="J32" s="10"/>
      <c r="K32" s="5" t="str">
        <f t="shared" si="1"/>
        <v/>
      </c>
    </row>
    <row r="33" spans="2:11" x14ac:dyDescent="0.25">
      <c r="B33" s="10"/>
      <c r="C33" s="5" t="str">
        <f t="shared" si="0"/>
        <v/>
      </c>
      <c r="F33" s="7"/>
      <c r="I33" s="10"/>
      <c r="J33" s="10"/>
      <c r="K33" s="5" t="str">
        <f t="shared" si="1"/>
        <v/>
      </c>
    </row>
    <row r="34" spans="2:11" x14ac:dyDescent="0.25">
      <c r="B34" s="10"/>
      <c r="C34" s="5" t="str">
        <f t="shared" si="0"/>
        <v/>
      </c>
      <c r="F34" s="7"/>
      <c r="I34" s="10"/>
      <c r="J34" s="10"/>
      <c r="K34" s="5" t="str">
        <f t="shared" si="1"/>
        <v/>
      </c>
    </row>
    <row r="35" spans="2:11" x14ac:dyDescent="0.25">
      <c r="B35" s="10"/>
      <c r="C35" s="5" t="str">
        <f t="shared" si="0"/>
        <v/>
      </c>
      <c r="F35" s="7"/>
      <c r="I35" s="10"/>
      <c r="J35" s="10"/>
      <c r="K35" s="5" t="str">
        <f t="shared" si="1"/>
        <v/>
      </c>
    </row>
    <row r="36" spans="2:11" x14ac:dyDescent="0.25">
      <c r="B36" s="10"/>
      <c r="C36" s="5" t="str">
        <f t="shared" si="0"/>
        <v/>
      </c>
      <c r="F36" s="7"/>
      <c r="I36" s="10"/>
      <c r="J36" s="10"/>
      <c r="K36" s="5" t="str">
        <f t="shared" si="1"/>
        <v/>
      </c>
    </row>
    <row r="37" spans="2:11" x14ac:dyDescent="0.25">
      <c r="B37" s="10"/>
      <c r="C37" s="5" t="str">
        <f t="shared" si="0"/>
        <v/>
      </c>
      <c r="F37" s="7"/>
      <c r="I37" s="10"/>
      <c r="J37" s="10"/>
      <c r="K37" s="5" t="str">
        <f t="shared" si="1"/>
        <v/>
      </c>
    </row>
    <row r="38" spans="2:11" x14ac:dyDescent="0.25">
      <c r="B38" s="10"/>
      <c r="C38" s="5" t="str">
        <f t="shared" si="0"/>
        <v/>
      </c>
      <c r="F38" s="7"/>
      <c r="I38" s="10"/>
      <c r="J38" s="10"/>
      <c r="K38" s="5" t="str">
        <f t="shared" si="1"/>
        <v/>
      </c>
    </row>
    <row r="39" spans="2:11" x14ac:dyDescent="0.25">
      <c r="B39" s="10"/>
      <c r="C39" s="5" t="str">
        <f t="shared" si="0"/>
        <v/>
      </c>
      <c r="F39" s="7"/>
      <c r="I39" s="10"/>
      <c r="J39" s="10"/>
      <c r="K39" s="5" t="str">
        <f t="shared" si="1"/>
        <v/>
      </c>
    </row>
    <row r="40" spans="2:11" x14ac:dyDescent="0.25">
      <c r="B40" s="10"/>
      <c r="C40" s="5" t="str">
        <f t="shared" si="0"/>
        <v/>
      </c>
      <c r="F40" s="7"/>
      <c r="I40" s="10"/>
      <c r="J40" s="10"/>
      <c r="K40" s="5" t="str">
        <f t="shared" si="1"/>
        <v/>
      </c>
    </row>
    <row r="41" spans="2:11" x14ac:dyDescent="0.25">
      <c r="B41" s="10"/>
      <c r="C41" s="5" t="str">
        <f t="shared" si="0"/>
        <v/>
      </c>
      <c r="F41" s="7"/>
      <c r="I41" s="10"/>
      <c r="J41" s="10"/>
      <c r="K41" s="5" t="str">
        <f t="shared" si="1"/>
        <v/>
      </c>
    </row>
    <row r="42" spans="2:11" x14ac:dyDescent="0.25">
      <c r="B42" s="10"/>
      <c r="C42" s="5" t="str">
        <f t="shared" si="0"/>
        <v/>
      </c>
      <c r="F42" s="7"/>
      <c r="I42" s="10"/>
      <c r="J42" s="10"/>
      <c r="K42" s="5" t="str">
        <f t="shared" si="1"/>
        <v/>
      </c>
    </row>
    <row r="43" spans="2:11" x14ac:dyDescent="0.25">
      <c r="B43" s="10"/>
      <c r="C43" s="5" t="str">
        <f t="shared" si="0"/>
        <v/>
      </c>
      <c r="F43" s="7"/>
      <c r="I43" s="10"/>
      <c r="J43" s="10"/>
      <c r="K43" s="5" t="str">
        <f t="shared" si="1"/>
        <v/>
      </c>
    </row>
    <row r="44" spans="2:11" x14ac:dyDescent="0.25">
      <c r="B44" s="10"/>
      <c r="C44" s="5" t="str">
        <f t="shared" ref="C44:C75" si="2">IF($B44="","",$B44*$B$3)</f>
        <v/>
      </c>
      <c r="F44" s="7"/>
      <c r="I44" s="10"/>
      <c r="J44" s="10"/>
      <c r="K44" s="5" t="str">
        <f t="shared" ref="K44:K61" si="3">IF(AND($I44="",$J44=""),"",IF($I44="",0,$I44*$B$4)+IF($J44="",0,$J44*$B$3))</f>
        <v/>
      </c>
    </row>
    <row r="45" spans="2:11" x14ac:dyDescent="0.25">
      <c r="B45" s="10"/>
      <c r="C45" s="5" t="str">
        <f t="shared" si="2"/>
        <v/>
      </c>
      <c r="F45" s="7"/>
      <c r="I45" s="10"/>
      <c r="J45" s="10"/>
      <c r="K45" s="5" t="str">
        <f t="shared" si="3"/>
        <v/>
      </c>
    </row>
    <row r="46" spans="2:11" x14ac:dyDescent="0.25">
      <c r="B46" s="10"/>
      <c r="C46" s="5" t="str">
        <f t="shared" si="2"/>
        <v/>
      </c>
      <c r="F46" s="7"/>
      <c r="I46" s="10"/>
      <c r="J46" s="10"/>
      <c r="K46" s="5" t="str">
        <f t="shared" si="3"/>
        <v/>
      </c>
    </row>
    <row r="47" spans="2:11" x14ac:dyDescent="0.25">
      <c r="B47" s="10"/>
      <c r="C47" s="5" t="str">
        <f t="shared" si="2"/>
        <v/>
      </c>
      <c r="F47" s="7"/>
      <c r="I47" s="10"/>
      <c r="J47" s="10"/>
      <c r="K47" s="5" t="str">
        <f t="shared" si="3"/>
        <v/>
      </c>
    </row>
    <row r="48" spans="2:11" x14ac:dyDescent="0.25">
      <c r="B48" s="10"/>
      <c r="C48" s="5" t="str">
        <f t="shared" si="2"/>
        <v/>
      </c>
      <c r="F48" s="7"/>
      <c r="I48" s="10"/>
      <c r="J48" s="10"/>
      <c r="K48" s="5" t="str">
        <f t="shared" si="3"/>
        <v/>
      </c>
    </row>
    <row r="49" spans="2:11" x14ac:dyDescent="0.25">
      <c r="B49" s="10"/>
      <c r="C49" s="5" t="str">
        <f t="shared" si="2"/>
        <v/>
      </c>
      <c r="F49" s="7"/>
      <c r="I49" s="10"/>
      <c r="J49" s="10"/>
      <c r="K49" s="5" t="str">
        <f t="shared" si="3"/>
        <v/>
      </c>
    </row>
    <row r="50" spans="2:11" x14ac:dyDescent="0.25">
      <c r="B50" s="10"/>
      <c r="C50" s="5" t="str">
        <f t="shared" si="2"/>
        <v/>
      </c>
      <c r="F50" s="7"/>
      <c r="I50" s="10"/>
      <c r="J50" s="10"/>
      <c r="K50" s="5" t="str">
        <f t="shared" si="3"/>
        <v/>
      </c>
    </row>
    <row r="51" spans="2:11" x14ac:dyDescent="0.25">
      <c r="B51" s="10"/>
      <c r="C51" s="5" t="str">
        <f t="shared" si="2"/>
        <v/>
      </c>
      <c r="F51" s="7"/>
      <c r="I51" s="10"/>
      <c r="J51" s="10"/>
      <c r="K51" s="5" t="str">
        <f t="shared" si="3"/>
        <v/>
      </c>
    </row>
    <row r="52" spans="2:11" x14ac:dyDescent="0.25">
      <c r="B52" s="10"/>
      <c r="C52" s="5" t="str">
        <f t="shared" si="2"/>
        <v/>
      </c>
      <c r="F52" s="7"/>
      <c r="I52" s="10"/>
      <c r="J52" s="10"/>
      <c r="K52" s="5" t="str">
        <f t="shared" si="3"/>
        <v/>
      </c>
    </row>
    <row r="53" spans="2:11" x14ac:dyDescent="0.25">
      <c r="B53" s="10"/>
      <c r="C53" s="5" t="str">
        <f t="shared" si="2"/>
        <v/>
      </c>
      <c r="F53" s="7"/>
      <c r="I53" s="10"/>
      <c r="J53" s="10"/>
      <c r="K53" s="5" t="str">
        <f t="shared" si="3"/>
        <v/>
      </c>
    </row>
    <row r="54" spans="2:11" x14ac:dyDescent="0.25">
      <c r="B54" s="10"/>
      <c r="C54" s="5" t="str">
        <f t="shared" si="2"/>
        <v/>
      </c>
      <c r="F54" s="7"/>
      <c r="I54" s="10"/>
      <c r="J54" s="10"/>
      <c r="K54" s="5" t="str">
        <f t="shared" si="3"/>
        <v/>
      </c>
    </row>
    <row r="55" spans="2:11" x14ac:dyDescent="0.25">
      <c r="B55" s="10"/>
      <c r="C55" s="5" t="str">
        <f t="shared" si="2"/>
        <v/>
      </c>
      <c r="F55" s="7"/>
      <c r="I55" s="10"/>
      <c r="J55" s="10"/>
      <c r="K55" s="5" t="str">
        <f t="shared" si="3"/>
        <v/>
      </c>
    </row>
    <row r="56" spans="2:11" x14ac:dyDescent="0.25">
      <c r="B56" s="10"/>
      <c r="C56" s="5" t="str">
        <f t="shared" si="2"/>
        <v/>
      </c>
      <c r="F56" s="7"/>
      <c r="I56" s="10"/>
      <c r="J56" s="10"/>
      <c r="K56" s="5" t="str">
        <f t="shared" si="3"/>
        <v/>
      </c>
    </row>
    <row r="57" spans="2:11" x14ac:dyDescent="0.25">
      <c r="B57" s="10"/>
      <c r="C57" s="5" t="str">
        <f t="shared" si="2"/>
        <v/>
      </c>
      <c r="F57" s="7"/>
      <c r="I57" s="10"/>
      <c r="J57" s="10"/>
      <c r="K57" s="5" t="str">
        <f t="shared" si="3"/>
        <v/>
      </c>
    </row>
    <row r="58" spans="2:11" x14ac:dyDescent="0.25">
      <c r="B58" s="10"/>
      <c r="C58" s="5" t="str">
        <f t="shared" si="2"/>
        <v/>
      </c>
      <c r="F58" s="7"/>
      <c r="I58" s="10"/>
      <c r="J58" s="10"/>
      <c r="K58" s="5" t="str">
        <f t="shared" si="3"/>
        <v/>
      </c>
    </row>
    <row r="59" spans="2:11" x14ac:dyDescent="0.25">
      <c r="B59" s="10"/>
      <c r="C59" s="5" t="str">
        <f t="shared" si="2"/>
        <v/>
      </c>
      <c r="F59" s="7"/>
      <c r="I59" s="10"/>
      <c r="J59" s="10"/>
      <c r="K59" s="5" t="str">
        <f t="shared" si="3"/>
        <v/>
      </c>
    </row>
    <row r="60" spans="2:11" x14ac:dyDescent="0.25">
      <c r="B60" s="10"/>
      <c r="C60" s="5" t="str">
        <f t="shared" si="2"/>
        <v/>
      </c>
      <c r="F60" s="7"/>
      <c r="I60" s="10"/>
      <c r="J60" s="10"/>
      <c r="K60" s="5" t="str">
        <f t="shared" si="3"/>
        <v/>
      </c>
    </row>
    <row r="61" spans="2:11" x14ac:dyDescent="0.25">
      <c r="B61" s="10"/>
      <c r="C61" s="5" t="str">
        <f t="shared" si="2"/>
        <v/>
      </c>
      <c r="F61" s="7"/>
      <c r="I61" s="10"/>
      <c r="J61" s="10"/>
      <c r="K61" s="5" t="str">
        <f t="shared" si="3"/>
        <v/>
      </c>
    </row>
    <row r="62" spans="2:11" x14ac:dyDescent="0.25">
      <c r="B62" s="10"/>
      <c r="C62" s="5" t="str">
        <f t="shared" si="2"/>
        <v/>
      </c>
      <c r="F62" s="7"/>
    </row>
    <row r="63" spans="2:11" x14ac:dyDescent="0.25">
      <c r="B63" s="10"/>
      <c r="C63" s="5" t="str">
        <f t="shared" si="2"/>
        <v/>
      </c>
      <c r="F63" s="7"/>
    </row>
    <row r="64" spans="2:11" x14ac:dyDescent="0.25">
      <c r="B64" s="10"/>
      <c r="C64" s="5" t="str">
        <f t="shared" si="2"/>
        <v/>
      </c>
      <c r="F64" s="7"/>
    </row>
    <row r="65" spans="2:6" x14ac:dyDescent="0.25">
      <c r="B65" s="10"/>
      <c r="C65" s="5" t="str">
        <f t="shared" si="2"/>
        <v/>
      </c>
      <c r="F65" s="7"/>
    </row>
    <row r="66" spans="2:6" x14ac:dyDescent="0.25">
      <c r="B66" s="10"/>
      <c r="C66" s="5" t="str">
        <f t="shared" si="2"/>
        <v/>
      </c>
      <c r="F66" s="7"/>
    </row>
    <row r="67" spans="2:6" x14ac:dyDescent="0.25">
      <c r="B67" s="10"/>
      <c r="C67" s="5" t="str">
        <f t="shared" si="2"/>
        <v/>
      </c>
      <c r="F67" s="7"/>
    </row>
    <row r="68" spans="2:6" x14ac:dyDescent="0.25">
      <c r="B68" s="10"/>
      <c r="C68" s="5" t="str">
        <f t="shared" si="2"/>
        <v/>
      </c>
      <c r="F68" s="7"/>
    </row>
    <row r="69" spans="2:6" x14ac:dyDescent="0.25">
      <c r="B69" s="10"/>
      <c r="C69" s="5" t="str">
        <f t="shared" si="2"/>
        <v/>
      </c>
      <c r="F69" s="7"/>
    </row>
    <row r="70" spans="2:6" x14ac:dyDescent="0.25">
      <c r="B70" s="10"/>
      <c r="C70" s="5" t="str">
        <f t="shared" si="2"/>
        <v/>
      </c>
      <c r="F70" s="7"/>
    </row>
    <row r="71" spans="2:6" x14ac:dyDescent="0.25">
      <c r="B71" s="10"/>
      <c r="C71" s="5" t="str">
        <f t="shared" si="2"/>
        <v/>
      </c>
      <c r="F71" s="7"/>
    </row>
    <row r="72" spans="2:6" x14ac:dyDescent="0.25">
      <c r="B72" s="10"/>
      <c r="C72" s="5" t="str">
        <f t="shared" si="2"/>
        <v/>
      </c>
      <c r="F72" s="7"/>
    </row>
    <row r="73" spans="2:6" x14ac:dyDescent="0.25">
      <c r="B73" s="10"/>
      <c r="C73" s="5" t="str">
        <f t="shared" si="2"/>
        <v/>
      </c>
      <c r="F73" s="7"/>
    </row>
    <row r="74" spans="2:6" x14ac:dyDescent="0.25">
      <c r="B74" s="10"/>
      <c r="C74" s="5" t="str">
        <f t="shared" si="2"/>
        <v/>
      </c>
      <c r="F74" s="7"/>
    </row>
    <row r="75" spans="2:6" x14ac:dyDescent="0.25">
      <c r="B75" s="10"/>
      <c r="C75" s="5" t="str">
        <f t="shared" si="2"/>
        <v/>
      </c>
      <c r="F75" s="7"/>
    </row>
    <row r="76" spans="2:6" x14ac:dyDescent="0.25">
      <c r="B76" s="10"/>
      <c r="C76" s="5" t="str">
        <f t="shared" ref="C76:C107" si="4">IF($B76="","",$B76*$B$3)</f>
        <v/>
      </c>
      <c r="F76" s="7"/>
    </row>
    <row r="77" spans="2:6" x14ac:dyDescent="0.25">
      <c r="B77" s="10"/>
      <c r="C77" s="5" t="str">
        <f t="shared" si="4"/>
        <v/>
      </c>
      <c r="F77" s="7"/>
    </row>
    <row r="78" spans="2:6" x14ac:dyDescent="0.25">
      <c r="B78" s="10"/>
      <c r="C78" s="5" t="str">
        <f t="shared" si="4"/>
        <v/>
      </c>
      <c r="F78" s="7"/>
    </row>
    <row r="79" spans="2:6" x14ac:dyDescent="0.25">
      <c r="B79" s="10"/>
      <c r="C79" s="5" t="str">
        <f t="shared" si="4"/>
        <v/>
      </c>
      <c r="F79" s="7"/>
    </row>
    <row r="80" spans="2:6" x14ac:dyDescent="0.25">
      <c r="B80" s="10"/>
      <c r="C80" s="5" t="str">
        <f t="shared" si="4"/>
        <v/>
      </c>
      <c r="F80" s="7"/>
    </row>
    <row r="81" spans="2:6" x14ac:dyDescent="0.25">
      <c r="B81" s="10"/>
      <c r="C81" s="5" t="str">
        <f t="shared" si="4"/>
        <v/>
      </c>
      <c r="F81" s="7"/>
    </row>
    <row r="82" spans="2:6" x14ac:dyDescent="0.25">
      <c r="B82" s="10"/>
      <c r="C82" s="5" t="str">
        <f t="shared" si="4"/>
        <v/>
      </c>
      <c r="F82" s="7"/>
    </row>
    <row r="83" spans="2:6" x14ac:dyDescent="0.25">
      <c r="B83" s="10"/>
      <c r="C83" s="5" t="str">
        <f t="shared" si="4"/>
        <v/>
      </c>
      <c r="F83" s="7"/>
    </row>
    <row r="84" spans="2:6" x14ac:dyDescent="0.25">
      <c r="B84" s="10"/>
      <c r="C84" s="5" t="str">
        <f t="shared" si="4"/>
        <v/>
      </c>
      <c r="F84" s="7"/>
    </row>
    <row r="85" spans="2:6" x14ac:dyDescent="0.25">
      <c r="B85" s="10"/>
      <c r="C85" s="5" t="str">
        <f t="shared" si="4"/>
        <v/>
      </c>
      <c r="F85" s="7"/>
    </row>
    <row r="86" spans="2:6" x14ac:dyDescent="0.25">
      <c r="B86" s="10"/>
      <c r="C86" s="5" t="str">
        <f t="shared" si="4"/>
        <v/>
      </c>
      <c r="F86" s="7"/>
    </row>
    <row r="87" spans="2:6" x14ac:dyDescent="0.25">
      <c r="B87" s="10"/>
      <c r="C87" s="5" t="str">
        <f t="shared" si="4"/>
        <v/>
      </c>
      <c r="F87" s="7"/>
    </row>
    <row r="88" spans="2:6" x14ac:dyDescent="0.25">
      <c r="B88" s="10"/>
      <c r="C88" s="5" t="str">
        <f t="shared" si="4"/>
        <v/>
      </c>
      <c r="F88" s="7"/>
    </row>
    <row r="89" spans="2:6" x14ac:dyDescent="0.25">
      <c r="B89" s="10"/>
      <c r="C89" s="5" t="str">
        <f t="shared" si="4"/>
        <v/>
      </c>
      <c r="F89" s="7"/>
    </row>
    <row r="90" spans="2:6" x14ac:dyDescent="0.25">
      <c r="B90" s="10"/>
      <c r="C90" s="5" t="str">
        <f t="shared" si="4"/>
        <v/>
      </c>
      <c r="F90" s="7"/>
    </row>
    <row r="91" spans="2:6" x14ac:dyDescent="0.25">
      <c r="B91" s="10"/>
      <c r="C91" s="5" t="str">
        <f t="shared" si="4"/>
        <v/>
      </c>
      <c r="F91" s="7"/>
    </row>
    <row r="92" spans="2:6" x14ac:dyDescent="0.25">
      <c r="B92" s="10"/>
      <c r="C92" s="5" t="str">
        <f t="shared" si="4"/>
        <v/>
      </c>
      <c r="F92" s="7"/>
    </row>
    <row r="93" spans="2:6" x14ac:dyDescent="0.25">
      <c r="B93" s="10"/>
      <c r="C93" s="5" t="str">
        <f t="shared" si="4"/>
        <v/>
      </c>
      <c r="F93" s="7"/>
    </row>
    <row r="94" spans="2:6" x14ac:dyDescent="0.25">
      <c r="B94" s="10"/>
      <c r="C94" s="5" t="str">
        <f t="shared" si="4"/>
        <v/>
      </c>
      <c r="F94" s="7"/>
    </row>
    <row r="95" spans="2:6" x14ac:dyDescent="0.25">
      <c r="B95" s="10"/>
      <c r="C95" s="5" t="str">
        <f t="shared" si="4"/>
        <v/>
      </c>
      <c r="F95" s="7"/>
    </row>
    <row r="96" spans="2:6" x14ac:dyDescent="0.25">
      <c r="B96" s="10"/>
      <c r="C96" s="5" t="str">
        <f t="shared" si="4"/>
        <v/>
      </c>
      <c r="F96" s="7"/>
    </row>
    <row r="97" spans="2:6" x14ac:dyDescent="0.25">
      <c r="B97" s="10"/>
      <c r="C97" s="5" t="str">
        <f t="shared" si="4"/>
        <v/>
      </c>
      <c r="F97" s="7"/>
    </row>
    <row r="98" spans="2:6" x14ac:dyDescent="0.25">
      <c r="B98" s="10"/>
      <c r="C98" s="5" t="str">
        <f t="shared" si="4"/>
        <v/>
      </c>
      <c r="F98" s="7"/>
    </row>
    <row r="99" spans="2:6" x14ac:dyDescent="0.25">
      <c r="B99" s="10"/>
      <c r="C99" s="5" t="str">
        <f t="shared" si="4"/>
        <v/>
      </c>
      <c r="F99" s="7"/>
    </row>
    <row r="100" spans="2:6" x14ac:dyDescent="0.25">
      <c r="B100" s="10"/>
      <c r="C100" s="5" t="str">
        <f t="shared" si="4"/>
        <v/>
      </c>
      <c r="F100" s="7"/>
    </row>
    <row r="101" spans="2:6" x14ac:dyDescent="0.25">
      <c r="B101" s="10"/>
      <c r="C101" s="5" t="str">
        <f t="shared" si="4"/>
        <v/>
      </c>
      <c r="F101" s="7"/>
    </row>
    <row r="102" spans="2:6" x14ac:dyDescent="0.25">
      <c r="B102" s="10"/>
      <c r="C102" s="5" t="str">
        <f t="shared" si="4"/>
        <v/>
      </c>
      <c r="F102" s="7"/>
    </row>
    <row r="103" spans="2:6" x14ac:dyDescent="0.25">
      <c r="B103" s="10"/>
      <c r="C103" s="5" t="str">
        <f t="shared" si="4"/>
        <v/>
      </c>
      <c r="F103" s="7"/>
    </row>
    <row r="104" spans="2:6" x14ac:dyDescent="0.25">
      <c r="B104" s="10"/>
      <c r="C104" s="5" t="str">
        <f t="shared" si="4"/>
        <v/>
      </c>
      <c r="F104" s="7"/>
    </row>
    <row r="105" spans="2:6" x14ac:dyDescent="0.25">
      <c r="B105" s="10"/>
      <c r="C105" s="5" t="str">
        <f t="shared" si="4"/>
        <v/>
      </c>
      <c r="F105" s="7"/>
    </row>
    <row r="106" spans="2:6" x14ac:dyDescent="0.25">
      <c r="B106" s="10"/>
      <c r="C106" s="5" t="str">
        <f t="shared" si="4"/>
        <v/>
      </c>
      <c r="F106" s="7"/>
    </row>
    <row r="107" spans="2:6" x14ac:dyDescent="0.25">
      <c r="B107" s="10"/>
      <c r="C107" s="5" t="str">
        <f t="shared" si="4"/>
        <v/>
      </c>
      <c r="F107" s="7"/>
    </row>
    <row r="108" spans="2:6" x14ac:dyDescent="0.25">
      <c r="B108" s="10"/>
      <c r="C108" s="5" t="str">
        <f t="shared" ref="C108:C139" si="5">IF($B108="","",$B108*$B$3)</f>
        <v/>
      </c>
      <c r="F108" s="7"/>
    </row>
    <row r="109" spans="2:6" x14ac:dyDescent="0.25">
      <c r="B109" s="10"/>
      <c r="C109" s="5" t="str">
        <f t="shared" si="5"/>
        <v/>
      </c>
      <c r="F109" s="7"/>
    </row>
    <row r="110" spans="2:6" x14ac:dyDescent="0.25">
      <c r="B110" s="10"/>
      <c r="C110" s="5" t="str">
        <f t="shared" si="5"/>
        <v/>
      </c>
      <c r="F110" s="7"/>
    </row>
    <row r="111" spans="2:6" x14ac:dyDescent="0.25">
      <c r="B111" s="10"/>
      <c r="C111" s="5" t="str">
        <f t="shared" si="5"/>
        <v/>
      </c>
      <c r="F111" s="7"/>
    </row>
    <row r="112" spans="2:6" x14ac:dyDescent="0.25">
      <c r="B112" s="10"/>
      <c r="C112" s="5" t="str">
        <f t="shared" si="5"/>
        <v/>
      </c>
    </row>
    <row r="113" spans="2:3" x14ac:dyDescent="0.25">
      <c r="B113" s="10"/>
      <c r="C113" s="5" t="str">
        <f t="shared" si="5"/>
        <v/>
      </c>
    </row>
    <row r="114" spans="2:3" x14ac:dyDescent="0.25">
      <c r="B114" s="10"/>
      <c r="C114" s="5" t="str">
        <f t="shared" si="5"/>
        <v/>
      </c>
    </row>
    <row r="115" spans="2:3" x14ac:dyDescent="0.25">
      <c r="B115" s="10"/>
      <c r="C115" s="5" t="str">
        <f t="shared" si="5"/>
        <v/>
      </c>
    </row>
    <row r="116" spans="2:3" x14ac:dyDescent="0.25">
      <c r="B116" s="10"/>
      <c r="C116" s="5" t="str">
        <f t="shared" si="5"/>
        <v/>
      </c>
    </row>
    <row r="117" spans="2:3" x14ac:dyDescent="0.25">
      <c r="B117" s="10"/>
      <c r="C117" s="5" t="str">
        <f t="shared" si="5"/>
        <v/>
      </c>
    </row>
    <row r="118" spans="2:3" x14ac:dyDescent="0.25">
      <c r="B118" s="10"/>
      <c r="C118" s="5" t="str">
        <f t="shared" si="5"/>
        <v/>
      </c>
    </row>
    <row r="119" spans="2:3" x14ac:dyDescent="0.25">
      <c r="B119" s="10"/>
      <c r="C119" s="5" t="str">
        <f t="shared" si="5"/>
        <v/>
      </c>
    </row>
    <row r="120" spans="2:3" x14ac:dyDescent="0.25">
      <c r="B120" s="10"/>
      <c r="C120" s="5" t="str">
        <f t="shared" si="5"/>
        <v/>
      </c>
    </row>
    <row r="121" spans="2:3" x14ac:dyDescent="0.25">
      <c r="B121" s="10"/>
      <c r="C121" s="5" t="str">
        <f t="shared" si="5"/>
        <v/>
      </c>
    </row>
    <row r="122" spans="2:3" x14ac:dyDescent="0.25">
      <c r="B122" s="10"/>
      <c r="C122" s="5" t="str">
        <f t="shared" si="5"/>
        <v/>
      </c>
    </row>
    <row r="123" spans="2:3" x14ac:dyDescent="0.25">
      <c r="B123" s="10"/>
      <c r="C123" s="5" t="str">
        <f t="shared" si="5"/>
        <v/>
      </c>
    </row>
    <row r="124" spans="2:3" x14ac:dyDescent="0.25">
      <c r="B124" s="10"/>
      <c r="C124" s="5" t="str">
        <f t="shared" si="5"/>
        <v/>
      </c>
    </row>
    <row r="125" spans="2:3" x14ac:dyDescent="0.25">
      <c r="B125" s="10"/>
      <c r="C125" s="5" t="str">
        <f t="shared" si="5"/>
        <v/>
      </c>
    </row>
    <row r="126" spans="2:3" x14ac:dyDescent="0.25">
      <c r="B126" s="10"/>
      <c r="C126" s="5" t="str">
        <f t="shared" si="5"/>
        <v/>
      </c>
    </row>
    <row r="127" spans="2:3" x14ac:dyDescent="0.25">
      <c r="B127" s="10"/>
      <c r="C127" s="5" t="str">
        <f t="shared" si="5"/>
        <v/>
      </c>
    </row>
    <row r="128" spans="2:3" x14ac:dyDescent="0.25">
      <c r="B128" s="10"/>
      <c r="C128" s="5" t="str">
        <f t="shared" si="5"/>
        <v/>
      </c>
    </row>
    <row r="129" spans="2:3" x14ac:dyDescent="0.25">
      <c r="B129" s="10"/>
      <c r="C129" s="5" t="str">
        <f t="shared" si="5"/>
        <v/>
      </c>
    </row>
    <row r="130" spans="2:3" x14ac:dyDescent="0.25">
      <c r="B130" s="10"/>
      <c r="C130" s="5" t="str">
        <f t="shared" si="5"/>
        <v/>
      </c>
    </row>
    <row r="131" spans="2:3" x14ac:dyDescent="0.25">
      <c r="B131" s="10"/>
      <c r="C131" s="5" t="str">
        <f t="shared" si="5"/>
        <v/>
      </c>
    </row>
    <row r="132" spans="2:3" x14ac:dyDescent="0.25">
      <c r="B132" s="10"/>
      <c r="C132" s="5" t="str">
        <f t="shared" si="5"/>
        <v/>
      </c>
    </row>
    <row r="133" spans="2:3" x14ac:dyDescent="0.25">
      <c r="B133" s="10"/>
      <c r="C133" s="5" t="str">
        <f t="shared" si="5"/>
        <v/>
      </c>
    </row>
    <row r="134" spans="2:3" x14ac:dyDescent="0.25">
      <c r="B134" s="10"/>
      <c r="C134" s="5" t="str">
        <f t="shared" si="5"/>
        <v/>
      </c>
    </row>
    <row r="135" spans="2:3" x14ac:dyDescent="0.25">
      <c r="B135" s="10"/>
      <c r="C135" s="5" t="str">
        <f t="shared" si="5"/>
        <v/>
      </c>
    </row>
    <row r="136" spans="2:3" x14ac:dyDescent="0.25">
      <c r="B136" s="10"/>
      <c r="C136" s="5" t="str">
        <f t="shared" si="5"/>
        <v/>
      </c>
    </row>
    <row r="137" spans="2:3" x14ac:dyDescent="0.25">
      <c r="B137" s="10"/>
      <c r="C137" s="5" t="str">
        <f t="shared" si="5"/>
        <v/>
      </c>
    </row>
    <row r="138" spans="2:3" x14ac:dyDescent="0.25">
      <c r="B138" s="10"/>
      <c r="C138" s="5" t="str">
        <f t="shared" si="5"/>
        <v/>
      </c>
    </row>
    <row r="139" spans="2:3" x14ac:dyDescent="0.25">
      <c r="B139" s="10"/>
      <c r="C139" s="5" t="str">
        <f t="shared" si="5"/>
        <v/>
      </c>
    </row>
    <row r="140" spans="2:3" x14ac:dyDescent="0.25">
      <c r="B140" s="10"/>
      <c r="C140" s="5" t="str">
        <f t="shared" ref="C140:C161" si="6">IF($B140="","",$B140*$B$3)</f>
        <v/>
      </c>
    </row>
    <row r="141" spans="2:3" x14ac:dyDescent="0.25">
      <c r="B141" s="10"/>
      <c r="C141" s="5" t="str">
        <f t="shared" si="6"/>
        <v/>
      </c>
    </row>
    <row r="142" spans="2:3" x14ac:dyDescent="0.25">
      <c r="B142" s="10"/>
      <c r="C142" s="5" t="str">
        <f t="shared" si="6"/>
        <v/>
      </c>
    </row>
    <row r="143" spans="2:3" x14ac:dyDescent="0.25">
      <c r="B143" s="10"/>
      <c r="C143" s="5" t="str">
        <f t="shared" si="6"/>
        <v/>
      </c>
    </row>
    <row r="144" spans="2:3" x14ac:dyDescent="0.25">
      <c r="B144" s="10"/>
      <c r="C144" s="5" t="str">
        <f t="shared" si="6"/>
        <v/>
      </c>
    </row>
    <row r="145" spans="2:3" x14ac:dyDescent="0.25">
      <c r="B145" s="10"/>
      <c r="C145" s="5" t="str">
        <f t="shared" si="6"/>
        <v/>
      </c>
    </row>
    <row r="146" spans="2:3" x14ac:dyDescent="0.25">
      <c r="B146" s="10"/>
      <c r="C146" s="5" t="str">
        <f t="shared" si="6"/>
        <v/>
      </c>
    </row>
    <row r="147" spans="2:3" x14ac:dyDescent="0.25">
      <c r="B147" s="10"/>
      <c r="C147" s="5" t="str">
        <f t="shared" si="6"/>
        <v/>
      </c>
    </row>
    <row r="148" spans="2:3" x14ac:dyDescent="0.25">
      <c r="B148" s="10"/>
      <c r="C148" s="5" t="str">
        <f t="shared" si="6"/>
        <v/>
      </c>
    </row>
    <row r="149" spans="2:3" x14ac:dyDescent="0.25">
      <c r="B149" s="10"/>
      <c r="C149" s="5" t="str">
        <f t="shared" si="6"/>
        <v/>
      </c>
    </row>
    <row r="150" spans="2:3" x14ac:dyDescent="0.25">
      <c r="B150" s="10"/>
      <c r="C150" s="5" t="str">
        <f t="shared" si="6"/>
        <v/>
      </c>
    </row>
    <row r="151" spans="2:3" x14ac:dyDescent="0.25">
      <c r="B151" s="10"/>
      <c r="C151" s="5" t="str">
        <f t="shared" si="6"/>
        <v/>
      </c>
    </row>
    <row r="152" spans="2:3" x14ac:dyDescent="0.25">
      <c r="B152" s="10"/>
      <c r="C152" s="5" t="str">
        <f t="shared" si="6"/>
        <v/>
      </c>
    </row>
    <row r="153" spans="2:3" x14ac:dyDescent="0.25">
      <c r="B153" s="10"/>
      <c r="C153" s="5" t="str">
        <f t="shared" si="6"/>
        <v/>
      </c>
    </row>
    <row r="154" spans="2:3" x14ac:dyDescent="0.25">
      <c r="B154" s="10"/>
      <c r="C154" s="5" t="str">
        <f t="shared" si="6"/>
        <v/>
      </c>
    </row>
    <row r="155" spans="2:3" x14ac:dyDescent="0.25">
      <c r="B155" s="10"/>
      <c r="C155" s="5" t="str">
        <f t="shared" si="6"/>
        <v/>
      </c>
    </row>
    <row r="156" spans="2:3" x14ac:dyDescent="0.25">
      <c r="B156" s="10"/>
      <c r="C156" s="5" t="str">
        <f t="shared" si="6"/>
        <v/>
      </c>
    </row>
    <row r="157" spans="2:3" x14ac:dyDescent="0.25">
      <c r="B157" s="10"/>
      <c r="C157" s="5" t="str">
        <f t="shared" si="6"/>
        <v/>
      </c>
    </row>
    <row r="158" spans="2:3" x14ac:dyDescent="0.25">
      <c r="B158" s="10"/>
      <c r="C158" s="5" t="str">
        <f t="shared" si="6"/>
        <v/>
      </c>
    </row>
    <row r="159" spans="2:3" x14ac:dyDescent="0.25">
      <c r="B159" s="10"/>
      <c r="C159" s="5" t="str">
        <f t="shared" si="6"/>
        <v/>
      </c>
    </row>
    <row r="160" spans="2:3" x14ac:dyDescent="0.25">
      <c r="B160" s="10"/>
      <c r="C160" s="5" t="str">
        <f t="shared" si="6"/>
        <v/>
      </c>
    </row>
    <row r="161" spans="2:3" x14ac:dyDescent="0.25">
      <c r="B161" s="10"/>
      <c r="C161" s="5" t="str">
        <f t="shared" si="6"/>
        <v/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42AD3-ACCA-4A64-9669-4017E7017F5A}">
  <dimension ref="A1:K162"/>
  <sheetViews>
    <sheetView workbookViewId="0">
      <pane ySplit="11" topLeftCell="A12" activePane="bottomLeft" state="frozen"/>
      <selection pane="bottomLeft" activeCell="H21" sqref="H21"/>
    </sheetView>
  </sheetViews>
  <sheetFormatPr baseColWidth="10" defaultRowHeight="15" x14ac:dyDescent="0.25"/>
  <cols>
    <col min="1" max="1" width="45.7109375" customWidth="1"/>
    <col min="2" max="3" width="18.140625" customWidth="1"/>
    <col min="4" max="4" width="4.7109375" customWidth="1"/>
    <col min="5" max="5" width="38.140625" customWidth="1"/>
    <col min="6" max="6" width="21" customWidth="1"/>
    <col min="7" max="7" width="4.7109375" customWidth="1"/>
    <col min="8" max="8" width="36.140625" customWidth="1"/>
    <col min="9" max="10" width="15.28515625" customWidth="1"/>
    <col min="11" max="11" width="21" customWidth="1"/>
  </cols>
  <sheetData>
    <row r="1" spans="1:11" ht="21" x14ac:dyDescent="0.35">
      <c r="A1" s="1" t="s">
        <v>5</v>
      </c>
    </row>
    <row r="3" spans="1:11" x14ac:dyDescent="0.25">
      <c r="A3" s="2" t="s">
        <v>3</v>
      </c>
      <c r="B3" s="8">
        <v>30</v>
      </c>
    </row>
    <row r="4" spans="1:11" x14ac:dyDescent="0.25">
      <c r="A4" s="2" t="s">
        <v>34</v>
      </c>
      <c r="B4" s="8">
        <v>0.3</v>
      </c>
    </row>
    <row r="5" spans="1:11" x14ac:dyDescent="0.25">
      <c r="A5" s="2"/>
    </row>
    <row r="6" spans="1:11" x14ac:dyDescent="0.25">
      <c r="A6" t="s">
        <v>18</v>
      </c>
      <c r="B6" s="5">
        <f>SUM(C12:C162)</f>
        <v>6900</v>
      </c>
    </row>
    <row r="7" spans="1:11" x14ac:dyDescent="0.25">
      <c r="A7" t="s">
        <v>19</v>
      </c>
      <c r="B7" s="5">
        <f>SUM(F12:F111)</f>
        <v>0</v>
      </c>
    </row>
    <row r="8" spans="1:11" x14ac:dyDescent="0.25">
      <c r="A8" s="2" t="s">
        <v>35</v>
      </c>
      <c r="B8" s="5">
        <f>SUM(K12:K61)</f>
        <v>747</v>
      </c>
    </row>
    <row r="9" spans="1:11" x14ac:dyDescent="0.25">
      <c r="A9" s="2" t="s">
        <v>6</v>
      </c>
      <c r="B9" s="3">
        <f>B6+B7+B8</f>
        <v>7647</v>
      </c>
    </row>
    <row r="10" spans="1:11" x14ac:dyDescent="0.25">
      <c r="A10" s="9" t="s">
        <v>20</v>
      </c>
      <c r="E10" s="9" t="s">
        <v>23</v>
      </c>
      <c r="H10" s="9" t="s">
        <v>36</v>
      </c>
    </row>
    <row r="11" spans="1:11" x14ac:dyDescent="0.25">
      <c r="A11" s="11" t="s">
        <v>21</v>
      </c>
      <c r="B11" s="11" t="s">
        <v>22</v>
      </c>
      <c r="C11" s="11" t="s">
        <v>17</v>
      </c>
      <c r="E11" s="11" t="s">
        <v>13</v>
      </c>
      <c r="F11" s="11" t="s">
        <v>17</v>
      </c>
      <c r="H11" s="11" t="s">
        <v>37</v>
      </c>
      <c r="I11" s="11" t="s">
        <v>38</v>
      </c>
      <c r="J11" s="11" t="s">
        <v>22</v>
      </c>
      <c r="K11" s="11" t="s">
        <v>17</v>
      </c>
    </row>
    <row r="12" spans="1:11" x14ac:dyDescent="0.25">
      <c r="A12" t="s">
        <v>32</v>
      </c>
      <c r="B12" s="10">
        <v>30</v>
      </c>
      <c r="C12" s="5">
        <f t="shared" ref="C12:C43" si="0">IF($B12="","",$B12*$B$3)</f>
        <v>900</v>
      </c>
      <c r="F12" s="7"/>
      <c r="H12" t="s">
        <v>41</v>
      </c>
      <c r="I12" s="10">
        <v>230</v>
      </c>
      <c r="J12" s="10">
        <v>6</v>
      </c>
      <c r="K12" s="5">
        <f t="shared" ref="K12:K43" si="1">IF(AND($I12="",$J12=""),"",IF($I12="",0,$I12*$B$4)+IF($J12="",0,$J12*$B$3))</f>
        <v>249</v>
      </c>
    </row>
    <row r="13" spans="1:11" x14ac:dyDescent="0.25">
      <c r="A13" t="s">
        <v>28</v>
      </c>
      <c r="B13" s="10">
        <v>12</v>
      </c>
      <c r="C13" s="5">
        <f t="shared" si="0"/>
        <v>360</v>
      </c>
      <c r="F13" s="7"/>
      <c r="H13" t="s">
        <v>45</v>
      </c>
      <c r="I13" s="10">
        <v>230</v>
      </c>
      <c r="J13" s="10">
        <v>6</v>
      </c>
      <c r="K13" s="5">
        <f t="shared" si="1"/>
        <v>249</v>
      </c>
    </row>
    <row r="14" spans="1:11" x14ac:dyDescent="0.25">
      <c r="A14" t="s">
        <v>29</v>
      </c>
      <c r="B14" s="10">
        <v>12</v>
      </c>
      <c r="C14" s="5">
        <f t="shared" si="0"/>
        <v>360</v>
      </c>
      <c r="F14" s="7"/>
      <c r="H14" t="s">
        <v>44</v>
      </c>
      <c r="I14" s="10">
        <v>230</v>
      </c>
      <c r="J14" s="10">
        <v>6</v>
      </c>
      <c r="K14" s="5">
        <f t="shared" si="1"/>
        <v>249</v>
      </c>
    </row>
    <row r="15" spans="1:11" x14ac:dyDescent="0.25">
      <c r="A15" t="s">
        <v>30</v>
      </c>
      <c r="B15" s="10">
        <v>20</v>
      </c>
      <c r="C15" s="5">
        <f t="shared" si="0"/>
        <v>600</v>
      </c>
      <c r="F15" s="7"/>
      <c r="I15" s="10"/>
      <c r="J15" s="10"/>
      <c r="K15" s="5" t="str">
        <f t="shared" si="1"/>
        <v/>
      </c>
    </row>
    <row r="16" spans="1:11" x14ac:dyDescent="0.25">
      <c r="A16" t="s">
        <v>31</v>
      </c>
      <c r="B16" s="10">
        <v>8</v>
      </c>
      <c r="C16" s="5">
        <f t="shared" si="0"/>
        <v>240</v>
      </c>
      <c r="F16" s="7"/>
      <c r="I16" s="10"/>
      <c r="J16" s="10"/>
      <c r="K16" s="5" t="str">
        <f t="shared" si="1"/>
        <v/>
      </c>
    </row>
    <row r="17" spans="1:11" x14ac:dyDescent="0.25">
      <c r="A17" t="s">
        <v>42</v>
      </c>
      <c r="B17" s="10">
        <v>140</v>
      </c>
      <c r="C17" s="5">
        <f t="shared" si="0"/>
        <v>4200</v>
      </c>
      <c r="F17" s="7"/>
      <c r="I17" s="10"/>
      <c r="J17" s="10"/>
      <c r="K17" s="5" t="str">
        <f t="shared" si="1"/>
        <v/>
      </c>
    </row>
    <row r="18" spans="1:11" x14ac:dyDescent="0.25">
      <c r="A18" t="s">
        <v>43</v>
      </c>
      <c r="B18" s="10">
        <v>8</v>
      </c>
      <c r="C18" s="5">
        <f t="shared" si="0"/>
        <v>240</v>
      </c>
      <c r="F18" s="7"/>
      <c r="I18" s="10"/>
      <c r="J18" s="10"/>
      <c r="K18" s="5" t="str">
        <f t="shared" si="1"/>
        <v/>
      </c>
    </row>
    <row r="19" spans="1:11" x14ac:dyDescent="0.25">
      <c r="B19" s="10"/>
      <c r="C19" s="5" t="str">
        <f t="shared" si="0"/>
        <v/>
      </c>
      <c r="F19" s="7"/>
      <c r="I19" s="10"/>
      <c r="J19" s="10"/>
      <c r="K19" s="5" t="str">
        <f t="shared" si="1"/>
        <v/>
      </c>
    </row>
    <row r="20" spans="1:11" x14ac:dyDescent="0.25">
      <c r="B20" s="10"/>
      <c r="C20" s="5" t="str">
        <f t="shared" si="0"/>
        <v/>
      </c>
      <c r="F20" s="7"/>
      <c r="I20" s="10"/>
      <c r="J20" s="10"/>
      <c r="K20" s="5" t="str">
        <f t="shared" si="1"/>
        <v/>
      </c>
    </row>
    <row r="21" spans="1:11" x14ac:dyDescent="0.25">
      <c r="B21" s="10"/>
      <c r="C21" s="5" t="str">
        <f t="shared" si="0"/>
        <v/>
      </c>
      <c r="F21" s="7"/>
      <c r="I21" s="10"/>
      <c r="J21" s="10"/>
      <c r="K21" s="5" t="str">
        <f t="shared" si="1"/>
        <v/>
      </c>
    </row>
    <row r="22" spans="1:11" x14ac:dyDescent="0.25">
      <c r="B22" s="10"/>
      <c r="C22" s="5" t="str">
        <f t="shared" si="0"/>
        <v/>
      </c>
      <c r="F22" s="7"/>
      <c r="I22" s="10"/>
      <c r="J22" s="10"/>
      <c r="K22" s="5" t="str">
        <f t="shared" si="1"/>
        <v/>
      </c>
    </row>
    <row r="23" spans="1:11" x14ac:dyDescent="0.25">
      <c r="B23" s="10"/>
      <c r="C23" s="5" t="str">
        <f t="shared" si="0"/>
        <v/>
      </c>
      <c r="F23" s="7"/>
      <c r="I23" s="10"/>
      <c r="J23" s="10"/>
      <c r="K23" s="5" t="str">
        <f t="shared" si="1"/>
        <v/>
      </c>
    </row>
    <row r="24" spans="1:11" x14ac:dyDescent="0.25">
      <c r="B24" s="10"/>
      <c r="C24" s="5" t="str">
        <f t="shared" si="0"/>
        <v/>
      </c>
      <c r="F24" s="7"/>
      <c r="I24" s="10"/>
      <c r="J24" s="10"/>
      <c r="K24" s="5" t="str">
        <f t="shared" si="1"/>
        <v/>
      </c>
    </row>
    <row r="25" spans="1:11" x14ac:dyDescent="0.25">
      <c r="B25" s="10"/>
      <c r="C25" s="5" t="str">
        <f t="shared" si="0"/>
        <v/>
      </c>
      <c r="F25" s="7"/>
      <c r="I25" s="10"/>
      <c r="J25" s="10"/>
      <c r="K25" s="5" t="str">
        <f t="shared" si="1"/>
        <v/>
      </c>
    </row>
    <row r="26" spans="1:11" x14ac:dyDescent="0.25">
      <c r="B26" s="10"/>
      <c r="C26" s="5" t="str">
        <f t="shared" si="0"/>
        <v/>
      </c>
      <c r="F26" s="7"/>
      <c r="I26" s="10"/>
      <c r="J26" s="10"/>
      <c r="K26" s="5" t="str">
        <f t="shared" si="1"/>
        <v/>
      </c>
    </row>
    <row r="27" spans="1:11" x14ac:dyDescent="0.25">
      <c r="B27" s="10"/>
      <c r="C27" s="5" t="str">
        <f t="shared" si="0"/>
        <v/>
      </c>
      <c r="F27" s="7"/>
      <c r="I27" s="10"/>
      <c r="J27" s="10"/>
      <c r="K27" s="5" t="str">
        <f t="shared" si="1"/>
        <v/>
      </c>
    </row>
    <row r="28" spans="1:11" x14ac:dyDescent="0.25">
      <c r="B28" s="10"/>
      <c r="C28" s="5" t="str">
        <f t="shared" si="0"/>
        <v/>
      </c>
      <c r="F28" s="7"/>
      <c r="I28" s="10"/>
      <c r="J28" s="10"/>
      <c r="K28" s="5" t="str">
        <f t="shared" si="1"/>
        <v/>
      </c>
    </row>
    <row r="29" spans="1:11" x14ac:dyDescent="0.25">
      <c r="B29" s="10"/>
      <c r="C29" s="5" t="str">
        <f t="shared" si="0"/>
        <v/>
      </c>
      <c r="F29" s="7"/>
      <c r="I29" s="10"/>
      <c r="J29" s="10"/>
      <c r="K29" s="5" t="str">
        <f t="shared" si="1"/>
        <v/>
      </c>
    </row>
    <row r="30" spans="1:11" x14ac:dyDescent="0.25">
      <c r="B30" s="10"/>
      <c r="C30" s="5" t="str">
        <f t="shared" si="0"/>
        <v/>
      </c>
      <c r="F30" s="7"/>
      <c r="I30" s="10"/>
      <c r="J30" s="10"/>
      <c r="K30" s="5" t="str">
        <f t="shared" si="1"/>
        <v/>
      </c>
    </row>
    <row r="31" spans="1:11" x14ac:dyDescent="0.25">
      <c r="B31" s="10"/>
      <c r="C31" s="5" t="str">
        <f t="shared" si="0"/>
        <v/>
      </c>
      <c r="F31" s="7"/>
      <c r="I31" s="10"/>
      <c r="J31" s="10"/>
      <c r="K31" s="5" t="str">
        <f t="shared" si="1"/>
        <v/>
      </c>
    </row>
    <row r="32" spans="1:11" x14ac:dyDescent="0.25">
      <c r="B32" s="10"/>
      <c r="C32" s="5" t="str">
        <f t="shared" si="0"/>
        <v/>
      </c>
      <c r="F32" s="7"/>
      <c r="I32" s="10"/>
      <c r="J32" s="10"/>
      <c r="K32" s="5" t="str">
        <f t="shared" si="1"/>
        <v/>
      </c>
    </row>
    <row r="33" spans="2:11" x14ac:dyDescent="0.25">
      <c r="B33" s="10"/>
      <c r="C33" s="5" t="str">
        <f t="shared" si="0"/>
        <v/>
      </c>
      <c r="F33" s="7"/>
      <c r="I33" s="10"/>
      <c r="J33" s="10"/>
      <c r="K33" s="5" t="str">
        <f t="shared" si="1"/>
        <v/>
      </c>
    </row>
    <row r="34" spans="2:11" x14ac:dyDescent="0.25">
      <c r="B34" s="10"/>
      <c r="C34" s="5" t="str">
        <f t="shared" si="0"/>
        <v/>
      </c>
      <c r="F34" s="7"/>
      <c r="I34" s="10"/>
      <c r="J34" s="10"/>
      <c r="K34" s="5" t="str">
        <f t="shared" si="1"/>
        <v/>
      </c>
    </row>
    <row r="35" spans="2:11" x14ac:dyDescent="0.25">
      <c r="B35" s="10"/>
      <c r="C35" s="5" t="str">
        <f t="shared" si="0"/>
        <v/>
      </c>
      <c r="F35" s="7"/>
      <c r="I35" s="10"/>
      <c r="J35" s="10"/>
      <c r="K35" s="5" t="str">
        <f t="shared" si="1"/>
        <v/>
      </c>
    </row>
    <row r="36" spans="2:11" x14ac:dyDescent="0.25">
      <c r="B36" s="10"/>
      <c r="C36" s="5" t="str">
        <f t="shared" si="0"/>
        <v/>
      </c>
      <c r="F36" s="7"/>
      <c r="I36" s="10"/>
      <c r="J36" s="10"/>
      <c r="K36" s="5" t="str">
        <f t="shared" si="1"/>
        <v/>
      </c>
    </row>
    <row r="37" spans="2:11" x14ac:dyDescent="0.25">
      <c r="B37" s="10"/>
      <c r="C37" s="5" t="str">
        <f t="shared" si="0"/>
        <v/>
      </c>
      <c r="F37" s="7"/>
      <c r="I37" s="10"/>
      <c r="J37" s="10"/>
      <c r="K37" s="5" t="str">
        <f t="shared" si="1"/>
        <v/>
      </c>
    </row>
    <row r="38" spans="2:11" x14ac:dyDescent="0.25">
      <c r="B38" s="10"/>
      <c r="C38" s="5" t="str">
        <f t="shared" si="0"/>
        <v/>
      </c>
      <c r="F38" s="7"/>
      <c r="I38" s="10"/>
      <c r="J38" s="10"/>
      <c r="K38" s="5" t="str">
        <f t="shared" si="1"/>
        <v/>
      </c>
    </row>
    <row r="39" spans="2:11" x14ac:dyDescent="0.25">
      <c r="B39" s="10"/>
      <c r="C39" s="5" t="str">
        <f t="shared" si="0"/>
        <v/>
      </c>
      <c r="F39" s="7"/>
      <c r="I39" s="10"/>
      <c r="J39" s="10"/>
      <c r="K39" s="5" t="str">
        <f t="shared" si="1"/>
        <v/>
      </c>
    </row>
    <row r="40" spans="2:11" x14ac:dyDescent="0.25">
      <c r="B40" s="10"/>
      <c r="C40" s="5" t="str">
        <f t="shared" si="0"/>
        <v/>
      </c>
      <c r="F40" s="7"/>
      <c r="I40" s="10"/>
      <c r="J40" s="10"/>
      <c r="K40" s="5" t="str">
        <f t="shared" si="1"/>
        <v/>
      </c>
    </row>
    <row r="41" spans="2:11" x14ac:dyDescent="0.25">
      <c r="B41" s="10"/>
      <c r="C41" s="5" t="str">
        <f t="shared" si="0"/>
        <v/>
      </c>
      <c r="F41" s="7"/>
      <c r="I41" s="10"/>
      <c r="J41" s="10"/>
      <c r="K41" s="5" t="str">
        <f t="shared" si="1"/>
        <v/>
      </c>
    </row>
    <row r="42" spans="2:11" x14ac:dyDescent="0.25">
      <c r="B42" s="10"/>
      <c r="C42" s="5" t="str">
        <f t="shared" si="0"/>
        <v/>
      </c>
      <c r="F42" s="7"/>
      <c r="I42" s="10"/>
      <c r="J42" s="10"/>
      <c r="K42" s="5" t="str">
        <f t="shared" si="1"/>
        <v/>
      </c>
    </row>
    <row r="43" spans="2:11" x14ac:dyDescent="0.25">
      <c r="B43" s="10"/>
      <c r="C43" s="5" t="str">
        <f t="shared" si="0"/>
        <v/>
      </c>
      <c r="F43" s="7"/>
      <c r="I43" s="10"/>
      <c r="J43" s="10"/>
      <c r="K43" s="5" t="str">
        <f t="shared" si="1"/>
        <v/>
      </c>
    </row>
    <row r="44" spans="2:11" x14ac:dyDescent="0.25">
      <c r="B44" s="10"/>
      <c r="C44" s="5" t="str">
        <f t="shared" ref="C44:C75" si="2">IF($B44="","",$B44*$B$3)</f>
        <v/>
      </c>
      <c r="F44" s="7"/>
      <c r="I44" s="10"/>
      <c r="J44" s="10"/>
      <c r="K44" s="5" t="str">
        <f t="shared" ref="K44:K61" si="3">IF(AND($I44="",$J44=""),"",IF($I44="",0,$I44*$B$4)+IF($J44="",0,$J44*$B$3))</f>
        <v/>
      </c>
    </row>
    <row r="45" spans="2:11" x14ac:dyDescent="0.25">
      <c r="B45" s="10"/>
      <c r="C45" s="5" t="str">
        <f t="shared" si="2"/>
        <v/>
      </c>
      <c r="F45" s="7"/>
      <c r="I45" s="10"/>
      <c r="J45" s="10"/>
      <c r="K45" s="5" t="str">
        <f t="shared" si="3"/>
        <v/>
      </c>
    </row>
    <row r="46" spans="2:11" x14ac:dyDescent="0.25">
      <c r="B46" s="10"/>
      <c r="C46" s="5" t="str">
        <f t="shared" si="2"/>
        <v/>
      </c>
      <c r="F46" s="7"/>
      <c r="I46" s="10"/>
      <c r="J46" s="10"/>
      <c r="K46" s="5" t="str">
        <f t="shared" si="3"/>
        <v/>
      </c>
    </row>
    <row r="47" spans="2:11" x14ac:dyDescent="0.25">
      <c r="B47" s="10"/>
      <c r="C47" s="5" t="str">
        <f t="shared" si="2"/>
        <v/>
      </c>
      <c r="F47" s="7"/>
      <c r="I47" s="10"/>
      <c r="J47" s="10"/>
      <c r="K47" s="5" t="str">
        <f t="shared" si="3"/>
        <v/>
      </c>
    </row>
    <row r="48" spans="2:11" x14ac:dyDescent="0.25">
      <c r="B48" s="10"/>
      <c r="C48" s="5" t="str">
        <f t="shared" si="2"/>
        <v/>
      </c>
      <c r="F48" s="7"/>
      <c r="I48" s="10"/>
      <c r="J48" s="10"/>
      <c r="K48" s="5" t="str">
        <f t="shared" si="3"/>
        <v/>
      </c>
    </row>
    <row r="49" spans="2:11" x14ac:dyDescent="0.25">
      <c r="B49" s="10"/>
      <c r="C49" s="5" t="str">
        <f t="shared" si="2"/>
        <v/>
      </c>
      <c r="F49" s="7"/>
      <c r="I49" s="10"/>
      <c r="J49" s="10"/>
      <c r="K49" s="5" t="str">
        <f t="shared" si="3"/>
        <v/>
      </c>
    </row>
    <row r="50" spans="2:11" x14ac:dyDescent="0.25">
      <c r="B50" s="10"/>
      <c r="C50" s="5" t="str">
        <f t="shared" si="2"/>
        <v/>
      </c>
      <c r="F50" s="7"/>
      <c r="I50" s="10"/>
      <c r="J50" s="10"/>
      <c r="K50" s="5" t="str">
        <f t="shared" si="3"/>
        <v/>
      </c>
    </row>
    <row r="51" spans="2:11" x14ac:dyDescent="0.25">
      <c r="B51" s="10"/>
      <c r="C51" s="5" t="str">
        <f t="shared" si="2"/>
        <v/>
      </c>
      <c r="F51" s="7"/>
      <c r="I51" s="10"/>
      <c r="J51" s="10"/>
      <c r="K51" s="5" t="str">
        <f t="shared" si="3"/>
        <v/>
      </c>
    </row>
    <row r="52" spans="2:11" x14ac:dyDescent="0.25">
      <c r="B52" s="10"/>
      <c r="C52" s="5" t="str">
        <f t="shared" si="2"/>
        <v/>
      </c>
      <c r="F52" s="7"/>
      <c r="I52" s="10"/>
      <c r="J52" s="10"/>
      <c r="K52" s="5" t="str">
        <f t="shared" si="3"/>
        <v/>
      </c>
    </row>
    <row r="53" spans="2:11" x14ac:dyDescent="0.25">
      <c r="B53" s="10"/>
      <c r="C53" s="5" t="str">
        <f t="shared" si="2"/>
        <v/>
      </c>
      <c r="F53" s="7"/>
      <c r="I53" s="10"/>
      <c r="J53" s="10"/>
      <c r="K53" s="5" t="str">
        <f t="shared" si="3"/>
        <v/>
      </c>
    </row>
    <row r="54" spans="2:11" x14ac:dyDescent="0.25">
      <c r="B54" s="10"/>
      <c r="C54" s="5" t="str">
        <f t="shared" si="2"/>
        <v/>
      </c>
      <c r="F54" s="7"/>
      <c r="I54" s="10"/>
      <c r="J54" s="10"/>
      <c r="K54" s="5" t="str">
        <f t="shared" si="3"/>
        <v/>
      </c>
    </row>
    <row r="55" spans="2:11" x14ac:dyDescent="0.25">
      <c r="B55" s="10"/>
      <c r="C55" s="5" t="str">
        <f t="shared" si="2"/>
        <v/>
      </c>
      <c r="F55" s="7"/>
      <c r="I55" s="10"/>
      <c r="J55" s="10"/>
      <c r="K55" s="5" t="str">
        <f t="shared" si="3"/>
        <v/>
      </c>
    </row>
    <row r="56" spans="2:11" x14ac:dyDescent="0.25">
      <c r="B56" s="10"/>
      <c r="C56" s="5" t="str">
        <f t="shared" si="2"/>
        <v/>
      </c>
      <c r="F56" s="7"/>
      <c r="I56" s="10"/>
      <c r="J56" s="10"/>
      <c r="K56" s="5" t="str">
        <f t="shared" si="3"/>
        <v/>
      </c>
    </row>
    <row r="57" spans="2:11" x14ac:dyDescent="0.25">
      <c r="B57" s="10"/>
      <c r="C57" s="5" t="str">
        <f t="shared" si="2"/>
        <v/>
      </c>
      <c r="F57" s="7"/>
      <c r="I57" s="10"/>
      <c r="J57" s="10"/>
      <c r="K57" s="5" t="str">
        <f t="shared" si="3"/>
        <v/>
      </c>
    </row>
    <row r="58" spans="2:11" x14ac:dyDescent="0.25">
      <c r="B58" s="10"/>
      <c r="C58" s="5" t="str">
        <f t="shared" si="2"/>
        <v/>
      </c>
      <c r="F58" s="7"/>
      <c r="I58" s="10"/>
      <c r="J58" s="10"/>
      <c r="K58" s="5" t="str">
        <f t="shared" si="3"/>
        <v/>
      </c>
    </row>
    <row r="59" spans="2:11" x14ac:dyDescent="0.25">
      <c r="B59" s="10"/>
      <c r="C59" s="5" t="str">
        <f t="shared" si="2"/>
        <v/>
      </c>
      <c r="F59" s="7"/>
      <c r="I59" s="10"/>
      <c r="J59" s="10"/>
      <c r="K59" s="5" t="str">
        <f t="shared" si="3"/>
        <v/>
      </c>
    </row>
    <row r="60" spans="2:11" x14ac:dyDescent="0.25">
      <c r="B60" s="10"/>
      <c r="C60" s="5" t="str">
        <f t="shared" si="2"/>
        <v/>
      </c>
      <c r="F60" s="7"/>
      <c r="I60" s="10"/>
      <c r="J60" s="10"/>
      <c r="K60" s="5" t="str">
        <f t="shared" si="3"/>
        <v/>
      </c>
    </row>
    <row r="61" spans="2:11" x14ac:dyDescent="0.25">
      <c r="B61" s="10"/>
      <c r="C61" s="5" t="str">
        <f t="shared" si="2"/>
        <v/>
      </c>
      <c r="F61" s="7"/>
      <c r="I61" s="10"/>
      <c r="J61" s="10"/>
      <c r="K61" s="5" t="str">
        <f t="shared" si="3"/>
        <v/>
      </c>
    </row>
    <row r="62" spans="2:11" x14ac:dyDescent="0.25">
      <c r="B62" s="10"/>
      <c r="C62" s="5" t="str">
        <f t="shared" si="2"/>
        <v/>
      </c>
      <c r="F62" s="7"/>
    </row>
    <row r="63" spans="2:11" x14ac:dyDescent="0.25">
      <c r="B63" s="10"/>
      <c r="C63" s="5" t="str">
        <f t="shared" si="2"/>
        <v/>
      </c>
      <c r="F63" s="7"/>
    </row>
    <row r="64" spans="2:11" x14ac:dyDescent="0.25">
      <c r="B64" s="10"/>
      <c r="C64" s="5" t="str">
        <f t="shared" si="2"/>
        <v/>
      </c>
      <c r="F64" s="7"/>
    </row>
    <row r="65" spans="2:6" x14ac:dyDescent="0.25">
      <c r="B65" s="10"/>
      <c r="C65" s="5" t="str">
        <f t="shared" si="2"/>
        <v/>
      </c>
      <c r="F65" s="7"/>
    </row>
    <row r="66" spans="2:6" x14ac:dyDescent="0.25">
      <c r="B66" s="10"/>
      <c r="C66" s="5" t="str">
        <f t="shared" si="2"/>
        <v/>
      </c>
      <c r="F66" s="7"/>
    </row>
    <row r="67" spans="2:6" x14ac:dyDescent="0.25">
      <c r="B67" s="10"/>
      <c r="C67" s="5" t="str">
        <f t="shared" si="2"/>
        <v/>
      </c>
      <c r="F67" s="7"/>
    </row>
    <row r="68" spans="2:6" x14ac:dyDescent="0.25">
      <c r="B68" s="10"/>
      <c r="C68" s="5" t="str">
        <f t="shared" si="2"/>
        <v/>
      </c>
      <c r="F68" s="7"/>
    </row>
    <row r="69" spans="2:6" x14ac:dyDescent="0.25">
      <c r="B69" s="10"/>
      <c r="C69" s="5" t="str">
        <f t="shared" si="2"/>
        <v/>
      </c>
      <c r="F69" s="7"/>
    </row>
    <row r="70" spans="2:6" x14ac:dyDescent="0.25">
      <c r="B70" s="10"/>
      <c r="C70" s="5" t="str">
        <f t="shared" si="2"/>
        <v/>
      </c>
      <c r="F70" s="7"/>
    </row>
    <row r="71" spans="2:6" x14ac:dyDescent="0.25">
      <c r="B71" s="10"/>
      <c r="C71" s="5" t="str">
        <f t="shared" si="2"/>
        <v/>
      </c>
      <c r="F71" s="7"/>
    </row>
    <row r="72" spans="2:6" x14ac:dyDescent="0.25">
      <c r="B72" s="10"/>
      <c r="C72" s="5" t="str">
        <f t="shared" si="2"/>
        <v/>
      </c>
      <c r="F72" s="7"/>
    </row>
    <row r="73" spans="2:6" x14ac:dyDescent="0.25">
      <c r="B73" s="10"/>
      <c r="C73" s="5" t="str">
        <f t="shared" si="2"/>
        <v/>
      </c>
      <c r="F73" s="7"/>
    </row>
    <row r="74" spans="2:6" x14ac:dyDescent="0.25">
      <c r="B74" s="10"/>
      <c r="C74" s="5" t="str">
        <f t="shared" si="2"/>
        <v/>
      </c>
      <c r="F74" s="7"/>
    </row>
    <row r="75" spans="2:6" x14ac:dyDescent="0.25">
      <c r="B75" s="10"/>
      <c r="C75" s="5" t="str">
        <f t="shared" si="2"/>
        <v/>
      </c>
      <c r="F75" s="7"/>
    </row>
    <row r="76" spans="2:6" x14ac:dyDescent="0.25">
      <c r="B76" s="10"/>
      <c r="C76" s="5" t="str">
        <f t="shared" ref="C76:C107" si="4">IF($B76="","",$B76*$B$3)</f>
        <v/>
      </c>
      <c r="F76" s="7"/>
    </row>
    <row r="77" spans="2:6" x14ac:dyDescent="0.25">
      <c r="B77" s="10"/>
      <c r="C77" s="5" t="str">
        <f t="shared" si="4"/>
        <v/>
      </c>
      <c r="F77" s="7"/>
    </row>
    <row r="78" spans="2:6" x14ac:dyDescent="0.25">
      <c r="B78" s="10"/>
      <c r="C78" s="5" t="str">
        <f t="shared" si="4"/>
        <v/>
      </c>
      <c r="F78" s="7"/>
    </row>
    <row r="79" spans="2:6" x14ac:dyDescent="0.25">
      <c r="B79" s="10"/>
      <c r="C79" s="5" t="str">
        <f t="shared" si="4"/>
        <v/>
      </c>
      <c r="F79" s="7"/>
    </row>
    <row r="80" spans="2:6" x14ac:dyDescent="0.25">
      <c r="B80" s="10"/>
      <c r="C80" s="5" t="str">
        <f t="shared" si="4"/>
        <v/>
      </c>
      <c r="F80" s="7"/>
    </row>
    <row r="81" spans="2:6" x14ac:dyDescent="0.25">
      <c r="B81" s="10"/>
      <c r="C81" s="5" t="str">
        <f t="shared" si="4"/>
        <v/>
      </c>
      <c r="F81" s="7"/>
    </row>
    <row r="82" spans="2:6" x14ac:dyDescent="0.25">
      <c r="B82" s="10"/>
      <c r="C82" s="5" t="str">
        <f t="shared" si="4"/>
        <v/>
      </c>
      <c r="F82" s="7"/>
    </row>
    <row r="83" spans="2:6" x14ac:dyDescent="0.25">
      <c r="B83" s="10"/>
      <c r="C83" s="5" t="str">
        <f t="shared" si="4"/>
        <v/>
      </c>
      <c r="F83" s="7"/>
    </row>
    <row r="84" spans="2:6" x14ac:dyDescent="0.25">
      <c r="B84" s="10"/>
      <c r="C84" s="5" t="str">
        <f t="shared" si="4"/>
        <v/>
      </c>
      <c r="F84" s="7"/>
    </row>
    <row r="85" spans="2:6" x14ac:dyDescent="0.25">
      <c r="B85" s="10"/>
      <c r="C85" s="5" t="str">
        <f t="shared" si="4"/>
        <v/>
      </c>
      <c r="F85" s="7"/>
    </row>
    <row r="86" spans="2:6" x14ac:dyDescent="0.25">
      <c r="B86" s="10"/>
      <c r="C86" s="5" t="str">
        <f t="shared" si="4"/>
        <v/>
      </c>
      <c r="F86" s="7"/>
    </row>
    <row r="87" spans="2:6" x14ac:dyDescent="0.25">
      <c r="B87" s="10"/>
      <c r="C87" s="5" t="str">
        <f t="shared" si="4"/>
        <v/>
      </c>
      <c r="F87" s="7"/>
    </row>
    <row r="88" spans="2:6" x14ac:dyDescent="0.25">
      <c r="B88" s="10"/>
      <c r="C88" s="5" t="str">
        <f t="shared" si="4"/>
        <v/>
      </c>
      <c r="F88" s="7"/>
    </row>
    <row r="89" spans="2:6" x14ac:dyDescent="0.25">
      <c r="B89" s="10"/>
      <c r="C89" s="5" t="str">
        <f t="shared" si="4"/>
        <v/>
      </c>
      <c r="F89" s="7"/>
    </row>
    <row r="90" spans="2:6" x14ac:dyDescent="0.25">
      <c r="B90" s="10"/>
      <c r="C90" s="5" t="str">
        <f t="shared" si="4"/>
        <v/>
      </c>
      <c r="F90" s="7"/>
    </row>
    <row r="91" spans="2:6" x14ac:dyDescent="0.25">
      <c r="B91" s="10"/>
      <c r="C91" s="5" t="str">
        <f t="shared" si="4"/>
        <v/>
      </c>
      <c r="F91" s="7"/>
    </row>
    <row r="92" spans="2:6" x14ac:dyDescent="0.25">
      <c r="B92" s="10"/>
      <c r="C92" s="5" t="str">
        <f t="shared" si="4"/>
        <v/>
      </c>
      <c r="F92" s="7"/>
    </row>
    <row r="93" spans="2:6" x14ac:dyDescent="0.25">
      <c r="B93" s="10"/>
      <c r="C93" s="5" t="str">
        <f t="shared" si="4"/>
        <v/>
      </c>
      <c r="F93" s="7"/>
    </row>
    <row r="94" spans="2:6" x14ac:dyDescent="0.25">
      <c r="B94" s="10"/>
      <c r="C94" s="5" t="str">
        <f t="shared" si="4"/>
        <v/>
      </c>
      <c r="F94" s="7"/>
    </row>
    <row r="95" spans="2:6" x14ac:dyDescent="0.25">
      <c r="B95" s="10"/>
      <c r="C95" s="5" t="str">
        <f t="shared" si="4"/>
        <v/>
      </c>
      <c r="F95" s="7"/>
    </row>
    <row r="96" spans="2:6" x14ac:dyDescent="0.25">
      <c r="B96" s="10"/>
      <c r="C96" s="5" t="str">
        <f t="shared" si="4"/>
        <v/>
      </c>
      <c r="F96" s="7"/>
    </row>
    <row r="97" spans="2:6" x14ac:dyDescent="0.25">
      <c r="B97" s="10"/>
      <c r="C97" s="5" t="str">
        <f t="shared" si="4"/>
        <v/>
      </c>
      <c r="F97" s="7"/>
    </row>
    <row r="98" spans="2:6" x14ac:dyDescent="0.25">
      <c r="B98" s="10"/>
      <c r="C98" s="5" t="str">
        <f t="shared" si="4"/>
        <v/>
      </c>
      <c r="F98" s="7"/>
    </row>
    <row r="99" spans="2:6" x14ac:dyDescent="0.25">
      <c r="B99" s="10"/>
      <c r="C99" s="5" t="str">
        <f t="shared" si="4"/>
        <v/>
      </c>
      <c r="F99" s="7"/>
    </row>
    <row r="100" spans="2:6" x14ac:dyDescent="0.25">
      <c r="B100" s="10"/>
      <c r="C100" s="5" t="str">
        <f t="shared" si="4"/>
        <v/>
      </c>
      <c r="F100" s="7"/>
    </row>
    <row r="101" spans="2:6" x14ac:dyDescent="0.25">
      <c r="B101" s="10"/>
      <c r="C101" s="5" t="str">
        <f t="shared" si="4"/>
        <v/>
      </c>
      <c r="F101" s="7"/>
    </row>
    <row r="102" spans="2:6" x14ac:dyDescent="0.25">
      <c r="B102" s="10"/>
      <c r="C102" s="5" t="str">
        <f t="shared" si="4"/>
        <v/>
      </c>
      <c r="F102" s="7"/>
    </row>
    <row r="103" spans="2:6" x14ac:dyDescent="0.25">
      <c r="B103" s="10"/>
      <c r="C103" s="5" t="str">
        <f t="shared" si="4"/>
        <v/>
      </c>
      <c r="F103" s="7"/>
    </row>
    <row r="104" spans="2:6" x14ac:dyDescent="0.25">
      <c r="B104" s="10"/>
      <c r="C104" s="5" t="str">
        <f t="shared" si="4"/>
        <v/>
      </c>
      <c r="F104" s="7"/>
    </row>
    <row r="105" spans="2:6" x14ac:dyDescent="0.25">
      <c r="B105" s="10"/>
      <c r="C105" s="5" t="str">
        <f t="shared" si="4"/>
        <v/>
      </c>
      <c r="F105" s="7"/>
    </row>
    <row r="106" spans="2:6" x14ac:dyDescent="0.25">
      <c r="B106" s="10"/>
      <c r="C106" s="5" t="str">
        <f t="shared" si="4"/>
        <v/>
      </c>
      <c r="F106" s="7"/>
    </row>
    <row r="107" spans="2:6" x14ac:dyDescent="0.25">
      <c r="B107" s="10"/>
      <c r="C107" s="5" t="str">
        <f t="shared" si="4"/>
        <v/>
      </c>
      <c r="F107" s="7"/>
    </row>
    <row r="108" spans="2:6" x14ac:dyDescent="0.25">
      <c r="B108" s="10"/>
      <c r="C108" s="5" t="str">
        <f t="shared" ref="C108:C139" si="5">IF($B108="","",$B108*$B$3)</f>
        <v/>
      </c>
      <c r="F108" s="7"/>
    </row>
    <row r="109" spans="2:6" x14ac:dyDescent="0.25">
      <c r="B109" s="10"/>
      <c r="C109" s="5" t="str">
        <f t="shared" si="5"/>
        <v/>
      </c>
      <c r="F109" s="7"/>
    </row>
    <row r="110" spans="2:6" x14ac:dyDescent="0.25">
      <c r="B110" s="10"/>
      <c r="C110" s="5" t="str">
        <f t="shared" si="5"/>
        <v/>
      </c>
      <c r="F110" s="7"/>
    </row>
    <row r="111" spans="2:6" x14ac:dyDescent="0.25">
      <c r="B111" s="10"/>
      <c r="C111" s="5" t="str">
        <f t="shared" si="5"/>
        <v/>
      </c>
      <c r="F111" s="7"/>
    </row>
    <row r="112" spans="2:6" x14ac:dyDescent="0.25">
      <c r="B112" s="10"/>
      <c r="C112" s="5" t="str">
        <f t="shared" si="5"/>
        <v/>
      </c>
    </row>
    <row r="113" spans="2:3" x14ac:dyDescent="0.25">
      <c r="B113" s="10"/>
      <c r="C113" s="5" t="str">
        <f t="shared" si="5"/>
        <v/>
      </c>
    </row>
    <row r="114" spans="2:3" x14ac:dyDescent="0.25">
      <c r="B114" s="10"/>
      <c r="C114" s="5" t="str">
        <f t="shared" si="5"/>
        <v/>
      </c>
    </row>
    <row r="115" spans="2:3" x14ac:dyDescent="0.25">
      <c r="B115" s="10"/>
      <c r="C115" s="5" t="str">
        <f t="shared" si="5"/>
        <v/>
      </c>
    </row>
    <row r="116" spans="2:3" x14ac:dyDescent="0.25">
      <c r="B116" s="10"/>
      <c r="C116" s="5" t="str">
        <f t="shared" si="5"/>
        <v/>
      </c>
    </row>
    <row r="117" spans="2:3" x14ac:dyDescent="0.25">
      <c r="B117" s="10"/>
      <c r="C117" s="5" t="str">
        <f t="shared" si="5"/>
        <v/>
      </c>
    </row>
    <row r="118" spans="2:3" x14ac:dyDescent="0.25">
      <c r="B118" s="10"/>
      <c r="C118" s="5" t="str">
        <f t="shared" si="5"/>
        <v/>
      </c>
    </row>
    <row r="119" spans="2:3" x14ac:dyDescent="0.25">
      <c r="B119" s="10"/>
      <c r="C119" s="5" t="str">
        <f t="shared" si="5"/>
        <v/>
      </c>
    </row>
    <row r="120" spans="2:3" x14ac:dyDescent="0.25">
      <c r="B120" s="10"/>
      <c r="C120" s="5" t="str">
        <f t="shared" si="5"/>
        <v/>
      </c>
    </row>
    <row r="121" spans="2:3" x14ac:dyDescent="0.25">
      <c r="B121" s="10"/>
      <c r="C121" s="5" t="str">
        <f t="shared" si="5"/>
        <v/>
      </c>
    </row>
    <row r="122" spans="2:3" x14ac:dyDescent="0.25">
      <c r="B122" s="10"/>
      <c r="C122" s="5" t="str">
        <f t="shared" si="5"/>
        <v/>
      </c>
    </row>
    <row r="123" spans="2:3" x14ac:dyDescent="0.25">
      <c r="B123" s="10"/>
      <c r="C123" s="5" t="str">
        <f t="shared" si="5"/>
        <v/>
      </c>
    </row>
    <row r="124" spans="2:3" x14ac:dyDescent="0.25">
      <c r="B124" s="10"/>
      <c r="C124" s="5" t="str">
        <f t="shared" si="5"/>
        <v/>
      </c>
    </row>
    <row r="125" spans="2:3" x14ac:dyDescent="0.25">
      <c r="B125" s="10"/>
      <c r="C125" s="5" t="str">
        <f t="shared" si="5"/>
        <v/>
      </c>
    </row>
    <row r="126" spans="2:3" x14ac:dyDescent="0.25">
      <c r="B126" s="10"/>
      <c r="C126" s="5" t="str">
        <f t="shared" si="5"/>
        <v/>
      </c>
    </row>
    <row r="127" spans="2:3" x14ac:dyDescent="0.25">
      <c r="B127" s="10"/>
      <c r="C127" s="5" t="str">
        <f t="shared" si="5"/>
        <v/>
      </c>
    </row>
    <row r="128" spans="2:3" x14ac:dyDescent="0.25">
      <c r="B128" s="10"/>
      <c r="C128" s="5" t="str">
        <f t="shared" si="5"/>
        <v/>
      </c>
    </row>
    <row r="129" spans="2:3" x14ac:dyDescent="0.25">
      <c r="B129" s="10"/>
      <c r="C129" s="5" t="str">
        <f t="shared" si="5"/>
        <v/>
      </c>
    </row>
    <row r="130" spans="2:3" x14ac:dyDescent="0.25">
      <c r="B130" s="10"/>
      <c r="C130" s="5" t="str">
        <f t="shared" si="5"/>
        <v/>
      </c>
    </row>
    <row r="131" spans="2:3" x14ac:dyDescent="0.25">
      <c r="B131" s="10"/>
      <c r="C131" s="5" t="str">
        <f t="shared" si="5"/>
        <v/>
      </c>
    </row>
    <row r="132" spans="2:3" x14ac:dyDescent="0.25">
      <c r="B132" s="10"/>
      <c r="C132" s="5" t="str">
        <f t="shared" si="5"/>
        <v/>
      </c>
    </row>
    <row r="133" spans="2:3" x14ac:dyDescent="0.25">
      <c r="B133" s="10"/>
      <c r="C133" s="5" t="str">
        <f t="shared" si="5"/>
        <v/>
      </c>
    </row>
    <row r="134" spans="2:3" x14ac:dyDescent="0.25">
      <c r="B134" s="10"/>
      <c r="C134" s="5" t="str">
        <f t="shared" si="5"/>
        <v/>
      </c>
    </row>
    <row r="135" spans="2:3" x14ac:dyDescent="0.25">
      <c r="B135" s="10"/>
      <c r="C135" s="5" t="str">
        <f t="shared" si="5"/>
        <v/>
      </c>
    </row>
    <row r="136" spans="2:3" x14ac:dyDescent="0.25">
      <c r="B136" s="10"/>
      <c r="C136" s="5" t="str">
        <f t="shared" si="5"/>
        <v/>
      </c>
    </row>
    <row r="137" spans="2:3" x14ac:dyDescent="0.25">
      <c r="B137" s="10"/>
      <c r="C137" s="5" t="str">
        <f t="shared" si="5"/>
        <v/>
      </c>
    </row>
    <row r="138" spans="2:3" x14ac:dyDescent="0.25">
      <c r="B138" s="10"/>
      <c r="C138" s="5" t="str">
        <f t="shared" si="5"/>
        <v/>
      </c>
    </row>
    <row r="139" spans="2:3" x14ac:dyDescent="0.25">
      <c r="B139" s="10"/>
      <c r="C139" s="5" t="str">
        <f t="shared" si="5"/>
        <v/>
      </c>
    </row>
    <row r="140" spans="2:3" x14ac:dyDescent="0.25">
      <c r="B140" s="10"/>
      <c r="C140" s="5" t="str">
        <f t="shared" ref="C140:C162" si="6">IF($B140="","",$B140*$B$3)</f>
        <v/>
      </c>
    </row>
    <row r="141" spans="2:3" x14ac:dyDescent="0.25">
      <c r="B141" s="10"/>
      <c r="C141" s="5" t="str">
        <f t="shared" si="6"/>
        <v/>
      </c>
    </row>
    <row r="142" spans="2:3" x14ac:dyDescent="0.25">
      <c r="B142" s="10"/>
      <c r="C142" s="5" t="str">
        <f t="shared" si="6"/>
        <v/>
      </c>
    </row>
    <row r="143" spans="2:3" x14ac:dyDescent="0.25">
      <c r="B143" s="10"/>
      <c r="C143" s="5" t="str">
        <f t="shared" si="6"/>
        <v/>
      </c>
    </row>
    <row r="144" spans="2:3" x14ac:dyDescent="0.25">
      <c r="B144" s="10"/>
      <c r="C144" s="5" t="str">
        <f t="shared" si="6"/>
        <v/>
      </c>
    </row>
    <row r="145" spans="2:3" x14ac:dyDescent="0.25">
      <c r="B145" s="10"/>
      <c r="C145" s="5" t="str">
        <f t="shared" si="6"/>
        <v/>
      </c>
    </row>
    <row r="146" spans="2:3" x14ac:dyDescent="0.25">
      <c r="B146" s="10"/>
      <c r="C146" s="5" t="str">
        <f t="shared" si="6"/>
        <v/>
      </c>
    </row>
    <row r="147" spans="2:3" x14ac:dyDescent="0.25">
      <c r="B147" s="10"/>
      <c r="C147" s="5" t="str">
        <f t="shared" si="6"/>
        <v/>
      </c>
    </row>
    <row r="148" spans="2:3" x14ac:dyDescent="0.25">
      <c r="B148" s="10"/>
      <c r="C148" s="5" t="str">
        <f t="shared" si="6"/>
        <v/>
      </c>
    </row>
    <row r="149" spans="2:3" x14ac:dyDescent="0.25">
      <c r="B149" s="10"/>
      <c r="C149" s="5" t="str">
        <f t="shared" si="6"/>
        <v/>
      </c>
    </row>
    <row r="150" spans="2:3" x14ac:dyDescent="0.25">
      <c r="B150" s="10"/>
      <c r="C150" s="5" t="str">
        <f t="shared" si="6"/>
        <v/>
      </c>
    </row>
    <row r="151" spans="2:3" x14ac:dyDescent="0.25">
      <c r="B151" s="10"/>
      <c r="C151" s="5" t="str">
        <f t="shared" si="6"/>
        <v/>
      </c>
    </row>
    <row r="152" spans="2:3" x14ac:dyDescent="0.25">
      <c r="B152" s="10"/>
      <c r="C152" s="5" t="str">
        <f t="shared" si="6"/>
        <v/>
      </c>
    </row>
    <row r="153" spans="2:3" x14ac:dyDescent="0.25">
      <c r="B153" s="10"/>
      <c r="C153" s="5" t="str">
        <f t="shared" si="6"/>
        <v/>
      </c>
    </row>
    <row r="154" spans="2:3" x14ac:dyDescent="0.25">
      <c r="B154" s="10"/>
      <c r="C154" s="5" t="str">
        <f t="shared" si="6"/>
        <v/>
      </c>
    </row>
    <row r="155" spans="2:3" x14ac:dyDescent="0.25">
      <c r="B155" s="10"/>
      <c r="C155" s="5" t="str">
        <f t="shared" si="6"/>
        <v/>
      </c>
    </row>
    <row r="156" spans="2:3" x14ac:dyDescent="0.25">
      <c r="B156" s="10"/>
      <c r="C156" s="5" t="str">
        <f t="shared" si="6"/>
        <v/>
      </c>
    </row>
    <row r="157" spans="2:3" x14ac:dyDescent="0.25">
      <c r="B157" s="10"/>
      <c r="C157" s="5" t="str">
        <f t="shared" si="6"/>
        <v/>
      </c>
    </row>
    <row r="158" spans="2:3" x14ac:dyDescent="0.25">
      <c r="B158" s="10"/>
      <c r="C158" s="5" t="str">
        <f t="shared" si="6"/>
        <v/>
      </c>
    </row>
    <row r="159" spans="2:3" x14ac:dyDescent="0.25">
      <c r="B159" s="10"/>
      <c r="C159" s="5" t="str">
        <f t="shared" si="6"/>
        <v/>
      </c>
    </row>
    <row r="160" spans="2:3" x14ac:dyDescent="0.25">
      <c r="B160" s="10"/>
      <c r="C160" s="5" t="str">
        <f t="shared" si="6"/>
        <v/>
      </c>
    </row>
    <row r="161" spans="2:3" x14ac:dyDescent="0.25">
      <c r="B161" s="10"/>
      <c r="C161" s="5" t="str">
        <f t="shared" si="6"/>
        <v/>
      </c>
    </row>
    <row r="162" spans="2:3" x14ac:dyDescent="0.25">
      <c r="B162" s="10"/>
      <c r="C162" s="5" t="str">
        <f t="shared" si="6"/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Pressupost Mestre</vt:lpstr>
      <vt:lpstr>Material</vt:lpstr>
      <vt:lpstr>Material per diposit</vt:lpstr>
      <vt:lpstr>Sergi</vt:lpstr>
      <vt:lpstr>Jordi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Maimo, Jordi</dc:creator>
  <cp:lastModifiedBy>Maimo, Jordi</cp:lastModifiedBy>
  <dcterms:created xsi:type="dcterms:W3CDTF">2026-08-27T04:42:24Z</dcterms:created>
  <dcterms:modified xsi:type="dcterms:W3CDTF">2026-08-28T09:51:57Z</dcterms:modified>
</cp:coreProperties>
</file>